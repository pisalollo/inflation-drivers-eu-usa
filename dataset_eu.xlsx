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<sst xmlns="http://schemas.openxmlformats.org/spreadsheetml/2006/main" uniqueCount="200">
  <si>
    <t>TIME PERIOD</t>
  </si>
  <si>
    <t>M3</t>
  </si>
  <si>
    <t>EURIBOR 3M</t>
  </si>
  <si>
    <t>HICP</t>
  </si>
  <si>
    <t>NOM GDP</t>
  </si>
  <si>
    <t>REAL GDP</t>
  </si>
  <si>
    <t>DISP INC</t>
  </si>
  <si>
    <t>U</t>
  </si>
  <si>
    <t>crude oil bfo</t>
  </si>
  <si>
    <t>FISC</t>
  </si>
  <si>
    <t>EGM - Excess Growth of Money</t>
  </si>
  <si>
    <t>Q1</t>
  </si>
  <si>
    <t>Q2</t>
  </si>
  <si>
    <t>Q3</t>
  </si>
  <si>
    <t>COVID19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</si>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</sst>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0000"/>
    <numFmt numFmtId="60" formatCode="0.00000000000"/>
    <numFmt numFmtId="61" formatCode="0.0000000000"/>
  </numFmts>
  <fonts count="5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61" fontId="0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201"/>
  <sheetViews>
    <sheetView workbookViewId="0" showGridLines="0" defaultGridColor="1">
      <pane topLeftCell="A2" xSplit="0" ySplit="1" activePane="bottomLeft" state="frozen"/>
    </sheetView>
  </sheetViews>
  <sheetFormatPr defaultColWidth="11.5" defaultRowHeight="12.8" customHeight="1" outlineLevelRow="0" outlineLevelCol="0"/>
  <cols>
    <col min="1" max="9" width="11.5" style="1" customWidth="1"/>
    <col min="10" max="10" width="19.1797" style="1" customWidth="1"/>
    <col min="11" max="15" width="11.5" style="1" customWidth="1"/>
    <col min="16" max="16384" width="11.5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13.65" customHeight="1">
      <c r="A2" t="s" s="3">
        <v>15</v>
      </c>
      <c r="B2" s="4">
        <v>1117228</v>
      </c>
      <c r="C2" s="4"/>
      <c r="D2" s="4"/>
      <c r="E2" s="4"/>
      <c r="F2" s="4"/>
      <c r="G2" s="4"/>
      <c r="H2" s="4"/>
      <c r="I2" s="5"/>
      <c r="J2" s="6"/>
      <c r="K2" s="7"/>
      <c r="L2" s="8">
        <v>1</v>
      </c>
      <c r="M2" s="8">
        <v>0</v>
      </c>
      <c r="N2" s="8">
        <v>0</v>
      </c>
      <c r="O2" s="8">
        <v>0</v>
      </c>
    </row>
    <row r="3" ht="13.65" customHeight="1">
      <c r="A3" t="s" s="3">
        <v>16</v>
      </c>
      <c r="B3" s="4">
        <v>1139157</v>
      </c>
      <c r="C3" s="4"/>
      <c r="D3" s="4"/>
      <c r="E3" s="4"/>
      <c r="F3" s="4"/>
      <c r="G3" s="4"/>
      <c r="H3" s="4"/>
      <c r="I3" s="5"/>
      <c r="J3" s="6"/>
      <c r="K3" s="7"/>
      <c r="L3" s="8">
        <v>0</v>
      </c>
      <c r="M3" s="8">
        <v>1</v>
      </c>
      <c r="N3" s="8">
        <v>0</v>
      </c>
      <c r="O3" s="8">
        <v>0</v>
      </c>
    </row>
    <row r="4" ht="13.65" customHeight="1">
      <c r="A4" t="s" s="3">
        <v>17</v>
      </c>
      <c r="B4" s="4">
        <v>1164470</v>
      </c>
      <c r="C4" s="4"/>
      <c r="D4" s="4"/>
      <c r="E4" s="4"/>
      <c r="F4" s="4"/>
      <c r="G4" s="4"/>
      <c r="H4" s="4"/>
      <c r="I4" s="5"/>
      <c r="J4" s="6"/>
      <c r="K4" s="7"/>
      <c r="L4" s="8">
        <v>0</v>
      </c>
      <c r="M4" s="8">
        <v>0</v>
      </c>
      <c r="N4" s="8">
        <v>1</v>
      </c>
      <c r="O4" s="8">
        <v>0</v>
      </c>
    </row>
    <row r="5" ht="13.65" customHeight="1">
      <c r="A5" t="s" s="3">
        <v>18</v>
      </c>
      <c r="B5" s="4">
        <v>1198927</v>
      </c>
      <c r="C5" s="4"/>
      <c r="D5" s="4"/>
      <c r="E5" s="4"/>
      <c r="F5" s="4"/>
      <c r="G5" s="4"/>
      <c r="H5" s="4"/>
      <c r="I5" s="5"/>
      <c r="J5" s="6"/>
      <c r="K5" s="7"/>
      <c r="L5" s="8">
        <v>0</v>
      </c>
      <c r="M5" s="8">
        <v>0</v>
      </c>
      <c r="N5" s="8">
        <v>0</v>
      </c>
      <c r="O5" s="8">
        <v>0</v>
      </c>
    </row>
    <row r="6" ht="13.65" customHeight="1">
      <c r="A6" t="s" s="3">
        <v>19</v>
      </c>
      <c r="B6" s="4">
        <v>1233640</v>
      </c>
      <c r="C6" s="4"/>
      <c r="D6" s="4"/>
      <c r="E6" s="4"/>
      <c r="F6" s="4"/>
      <c r="G6" s="4"/>
      <c r="H6" s="4"/>
      <c r="I6" s="5"/>
      <c r="J6" s="6"/>
      <c r="K6" s="7"/>
      <c r="L6" s="8">
        <v>1</v>
      </c>
      <c r="M6" s="8">
        <v>0</v>
      </c>
      <c r="N6" s="8">
        <v>0</v>
      </c>
      <c r="O6" s="8">
        <v>0</v>
      </c>
    </row>
    <row r="7" ht="13.65" customHeight="1">
      <c r="A7" t="s" s="3">
        <v>20</v>
      </c>
      <c r="B7" s="4">
        <v>1266536</v>
      </c>
      <c r="C7" s="4"/>
      <c r="D7" s="4"/>
      <c r="E7" s="4"/>
      <c r="F7" s="4"/>
      <c r="G7" s="4"/>
      <c r="H7" s="4"/>
      <c r="I7" s="5"/>
      <c r="J7" s="6"/>
      <c r="K7" s="7"/>
      <c r="L7" s="8">
        <v>0</v>
      </c>
      <c r="M7" s="8">
        <v>1</v>
      </c>
      <c r="N7" s="8">
        <v>0</v>
      </c>
      <c r="O7" s="8">
        <v>0</v>
      </c>
    </row>
    <row r="8" ht="13.65" customHeight="1">
      <c r="A8" t="s" s="3">
        <v>21</v>
      </c>
      <c r="B8" s="4">
        <v>1293408</v>
      </c>
      <c r="C8" s="4"/>
      <c r="D8" s="4"/>
      <c r="E8" s="4"/>
      <c r="F8" s="4"/>
      <c r="G8" s="4"/>
      <c r="H8" s="4"/>
      <c r="I8" s="5"/>
      <c r="J8" s="6"/>
      <c r="K8" s="7"/>
      <c r="L8" s="8">
        <v>0</v>
      </c>
      <c r="M8" s="8">
        <v>0</v>
      </c>
      <c r="N8" s="8">
        <v>1</v>
      </c>
      <c r="O8" s="8">
        <v>0</v>
      </c>
    </row>
    <row r="9" ht="13.65" customHeight="1">
      <c r="A9" t="s" s="3">
        <v>22</v>
      </c>
      <c r="B9" s="4">
        <v>1324037</v>
      </c>
      <c r="C9" s="4"/>
      <c r="D9" s="4"/>
      <c r="E9" s="4"/>
      <c r="F9" s="4"/>
      <c r="G9" s="4"/>
      <c r="H9" s="4"/>
      <c r="I9" s="5"/>
      <c r="J9" s="6"/>
      <c r="K9" s="7"/>
      <c r="L9" s="8">
        <v>0</v>
      </c>
      <c r="M9" s="8">
        <v>0</v>
      </c>
      <c r="N9" s="8">
        <v>0</v>
      </c>
      <c r="O9" s="8">
        <v>0</v>
      </c>
    </row>
    <row r="10" ht="13.65" customHeight="1">
      <c r="A10" t="s" s="3">
        <v>23</v>
      </c>
      <c r="B10" s="4">
        <v>1366026</v>
      </c>
      <c r="C10" s="4"/>
      <c r="D10" s="4"/>
      <c r="E10" s="4"/>
      <c r="F10" s="4"/>
      <c r="G10" s="4"/>
      <c r="H10" s="4"/>
      <c r="I10" s="5"/>
      <c r="J10" s="6"/>
      <c r="K10" s="7"/>
      <c r="L10" s="8">
        <v>1</v>
      </c>
      <c r="M10" s="8">
        <v>0</v>
      </c>
      <c r="N10" s="8">
        <v>0</v>
      </c>
      <c r="O10" s="8">
        <v>0</v>
      </c>
    </row>
    <row r="11" ht="13.65" customHeight="1">
      <c r="A11" t="s" s="3">
        <v>24</v>
      </c>
      <c r="B11" s="4">
        <v>1403542</v>
      </c>
      <c r="C11" s="4"/>
      <c r="D11" s="4"/>
      <c r="E11" s="4"/>
      <c r="F11" s="4"/>
      <c r="G11" s="4"/>
      <c r="H11" s="4"/>
      <c r="I11" s="5"/>
      <c r="J11" s="6"/>
      <c r="K11" s="7"/>
      <c r="L11" s="8">
        <v>0</v>
      </c>
      <c r="M11" s="8">
        <v>1</v>
      </c>
      <c r="N11" s="8">
        <v>0</v>
      </c>
      <c r="O11" s="8">
        <v>0</v>
      </c>
    </row>
    <row r="12" ht="13.65" customHeight="1">
      <c r="A12" t="s" s="3">
        <v>25</v>
      </c>
      <c r="B12" s="4">
        <v>1440564</v>
      </c>
      <c r="C12" s="4"/>
      <c r="D12" s="4"/>
      <c r="E12" s="4"/>
      <c r="F12" s="4"/>
      <c r="G12" s="4"/>
      <c r="H12" s="4"/>
      <c r="I12" s="5"/>
      <c r="J12" s="6"/>
      <c r="K12" s="7"/>
      <c r="L12" s="8">
        <v>0</v>
      </c>
      <c r="M12" s="8">
        <v>0</v>
      </c>
      <c r="N12" s="8">
        <v>1</v>
      </c>
      <c r="O12" s="8">
        <v>0</v>
      </c>
    </row>
    <row r="13" ht="13.65" customHeight="1">
      <c r="A13" t="s" s="3">
        <v>26</v>
      </c>
      <c r="B13" s="4">
        <v>1478452</v>
      </c>
      <c r="C13" s="4"/>
      <c r="D13" s="4"/>
      <c r="E13" s="4"/>
      <c r="F13" s="4"/>
      <c r="G13" s="4"/>
      <c r="H13" s="4"/>
      <c r="I13" s="5"/>
      <c r="J13" s="6"/>
      <c r="K13" s="7"/>
      <c r="L13" s="8">
        <v>0</v>
      </c>
      <c r="M13" s="8">
        <v>0</v>
      </c>
      <c r="N13" s="8">
        <v>0</v>
      </c>
      <c r="O13" s="8">
        <v>0</v>
      </c>
    </row>
    <row r="14" ht="13.65" customHeight="1">
      <c r="A14" t="s" s="3">
        <v>27</v>
      </c>
      <c r="B14" s="4">
        <v>1505297</v>
      </c>
      <c r="C14" s="4"/>
      <c r="D14" s="4"/>
      <c r="E14" s="4"/>
      <c r="F14" s="4"/>
      <c r="G14" s="4"/>
      <c r="H14" s="4"/>
      <c r="I14" s="5"/>
      <c r="J14" s="6"/>
      <c r="K14" s="7"/>
      <c r="L14" s="8">
        <v>1</v>
      </c>
      <c r="M14" s="8">
        <v>0</v>
      </c>
      <c r="N14" s="8">
        <v>0</v>
      </c>
      <c r="O14" s="8">
        <v>0</v>
      </c>
    </row>
    <row r="15" ht="13.65" customHeight="1">
      <c r="A15" t="s" s="3">
        <v>28</v>
      </c>
      <c r="B15" s="4">
        <v>1538465</v>
      </c>
      <c r="C15" s="4"/>
      <c r="D15" s="4"/>
      <c r="E15" s="4"/>
      <c r="F15" s="4"/>
      <c r="G15" s="4"/>
      <c r="H15" s="4"/>
      <c r="I15" s="5"/>
      <c r="J15" s="6"/>
      <c r="K15" s="7"/>
      <c r="L15" s="8">
        <v>0</v>
      </c>
      <c r="M15" s="8">
        <v>1</v>
      </c>
      <c r="N15" s="8">
        <v>0</v>
      </c>
      <c r="O15" s="8">
        <v>0</v>
      </c>
    </row>
    <row r="16" ht="13.65" customHeight="1">
      <c r="A16" t="s" s="3">
        <v>29</v>
      </c>
      <c r="B16" s="4">
        <v>1569280</v>
      </c>
      <c r="C16" s="4"/>
      <c r="D16" s="4"/>
      <c r="E16" s="4"/>
      <c r="F16" s="4"/>
      <c r="G16" s="4"/>
      <c r="H16" s="4"/>
      <c r="I16" s="5"/>
      <c r="J16" s="6"/>
      <c r="K16" s="7"/>
      <c r="L16" s="8">
        <v>0</v>
      </c>
      <c r="M16" s="8">
        <v>0</v>
      </c>
      <c r="N16" s="8">
        <v>1</v>
      </c>
      <c r="O16" s="8">
        <v>0</v>
      </c>
    </row>
    <row r="17" ht="13.65" customHeight="1">
      <c r="A17" t="s" s="3">
        <v>30</v>
      </c>
      <c r="B17" s="4">
        <v>1607971</v>
      </c>
      <c r="C17" s="4"/>
      <c r="D17" s="4"/>
      <c r="E17" s="4"/>
      <c r="F17" s="4"/>
      <c r="G17" s="4"/>
      <c r="H17" s="4"/>
      <c r="I17" s="5"/>
      <c r="J17" s="6"/>
      <c r="K17" s="7"/>
      <c r="L17" s="8">
        <v>0</v>
      </c>
      <c r="M17" s="8">
        <v>0</v>
      </c>
      <c r="N17" s="8">
        <v>0</v>
      </c>
      <c r="O17" s="8">
        <v>0</v>
      </c>
    </row>
    <row r="18" ht="13.65" customHeight="1">
      <c r="A18" t="s" s="3">
        <v>31</v>
      </c>
      <c r="B18" s="4">
        <v>1633342</v>
      </c>
      <c r="C18" s="4"/>
      <c r="D18" s="4"/>
      <c r="E18" s="4"/>
      <c r="F18" s="4"/>
      <c r="G18" s="4"/>
      <c r="H18" s="4"/>
      <c r="I18" s="5"/>
      <c r="J18" s="6"/>
      <c r="K18" s="7"/>
      <c r="L18" s="8">
        <v>1</v>
      </c>
      <c r="M18" s="8">
        <v>0</v>
      </c>
      <c r="N18" s="8">
        <v>0</v>
      </c>
      <c r="O18" s="8">
        <v>0</v>
      </c>
    </row>
    <row r="19" ht="13.65" customHeight="1">
      <c r="A19" t="s" s="3">
        <v>32</v>
      </c>
      <c r="B19" s="4">
        <v>1668177</v>
      </c>
      <c r="C19" s="4"/>
      <c r="D19" s="4"/>
      <c r="E19" s="4"/>
      <c r="F19" s="4"/>
      <c r="G19" s="4"/>
      <c r="H19" s="4"/>
      <c r="I19" s="5"/>
      <c r="J19" s="6"/>
      <c r="K19" s="7"/>
      <c r="L19" s="8">
        <v>0</v>
      </c>
      <c r="M19" s="8">
        <v>1</v>
      </c>
      <c r="N19" s="8">
        <v>0</v>
      </c>
      <c r="O19" s="8">
        <v>0</v>
      </c>
    </row>
    <row r="20" ht="13.65" customHeight="1">
      <c r="A20" t="s" s="3">
        <v>33</v>
      </c>
      <c r="B20" s="4">
        <v>1711302</v>
      </c>
      <c r="C20" s="4"/>
      <c r="D20" s="4"/>
      <c r="E20" s="4"/>
      <c r="F20" s="4"/>
      <c r="G20" s="4"/>
      <c r="H20" s="4"/>
      <c r="I20" s="5"/>
      <c r="J20" s="6"/>
      <c r="K20" s="7"/>
      <c r="L20" s="8">
        <v>0</v>
      </c>
      <c r="M20" s="8">
        <v>0</v>
      </c>
      <c r="N20" s="8">
        <v>1</v>
      </c>
      <c r="O20" s="8">
        <v>0</v>
      </c>
    </row>
    <row r="21" ht="13.65" customHeight="1">
      <c r="A21" t="s" s="3">
        <v>34</v>
      </c>
      <c r="B21" s="4">
        <v>1742791</v>
      </c>
      <c r="C21" s="4"/>
      <c r="D21" s="4"/>
      <c r="E21" s="4"/>
      <c r="F21" s="4"/>
      <c r="G21" s="4"/>
      <c r="H21" s="4"/>
      <c r="I21" s="5"/>
      <c r="J21" s="6"/>
      <c r="K21" s="7"/>
      <c r="L21" s="8">
        <v>0</v>
      </c>
      <c r="M21" s="8">
        <v>0</v>
      </c>
      <c r="N21" s="8">
        <v>0</v>
      </c>
      <c r="O21" s="8">
        <v>0</v>
      </c>
    </row>
    <row r="22" ht="13.65" customHeight="1">
      <c r="A22" t="s" s="3">
        <v>35</v>
      </c>
      <c r="B22" s="4">
        <v>1788333</v>
      </c>
      <c r="C22" s="4"/>
      <c r="D22" s="4"/>
      <c r="E22" s="4"/>
      <c r="F22" s="4"/>
      <c r="G22" s="4"/>
      <c r="H22" s="4"/>
      <c r="I22" s="5"/>
      <c r="J22" s="6"/>
      <c r="K22" s="7"/>
      <c r="L22" s="8">
        <v>1</v>
      </c>
      <c r="M22" s="8">
        <v>0</v>
      </c>
      <c r="N22" s="8">
        <v>0</v>
      </c>
      <c r="O22" s="8">
        <v>0</v>
      </c>
    </row>
    <row r="23" ht="13.65" customHeight="1">
      <c r="A23" t="s" s="3">
        <v>36</v>
      </c>
      <c r="B23" s="4">
        <v>1812216</v>
      </c>
      <c r="C23" s="4"/>
      <c r="D23" s="4"/>
      <c r="E23" s="4"/>
      <c r="F23" s="4"/>
      <c r="G23" s="4"/>
      <c r="H23" s="4"/>
      <c r="I23" s="5">
        <v>36.757782</v>
      </c>
      <c r="J23" s="6"/>
      <c r="K23" s="7"/>
      <c r="L23" s="8">
        <v>0</v>
      </c>
      <c r="M23" s="8">
        <v>1</v>
      </c>
      <c r="N23" s="8">
        <v>0</v>
      </c>
      <c r="O23" s="8">
        <v>0</v>
      </c>
    </row>
    <row r="24" ht="13.65" customHeight="1">
      <c r="A24" t="s" s="3">
        <v>37</v>
      </c>
      <c r="B24" s="4">
        <v>1840516</v>
      </c>
      <c r="C24" s="4"/>
      <c r="D24" s="4"/>
      <c r="E24" s="4"/>
      <c r="F24" s="4"/>
      <c r="G24" s="4"/>
      <c r="H24" s="4"/>
      <c r="I24" s="5">
        <v>34.710903</v>
      </c>
      <c r="J24" s="6"/>
      <c r="K24" s="7"/>
      <c r="L24" s="8">
        <v>0</v>
      </c>
      <c r="M24" s="8">
        <v>0</v>
      </c>
      <c r="N24" s="8">
        <v>1</v>
      </c>
      <c r="O24" s="8">
        <v>0</v>
      </c>
    </row>
    <row r="25" ht="13.65" customHeight="1">
      <c r="A25" t="s" s="3">
        <v>38</v>
      </c>
      <c r="B25" s="4">
        <v>1882118</v>
      </c>
      <c r="C25" s="4"/>
      <c r="D25" s="4"/>
      <c r="E25" s="4"/>
      <c r="F25" s="4"/>
      <c r="G25" s="4"/>
      <c r="H25" s="4"/>
      <c r="I25" s="5">
        <v>32.6202642</v>
      </c>
      <c r="J25" s="6"/>
      <c r="K25" s="7"/>
      <c r="L25" s="8">
        <v>0</v>
      </c>
      <c r="M25" s="8">
        <v>0</v>
      </c>
      <c r="N25" s="8">
        <v>0</v>
      </c>
      <c r="O25" s="8">
        <v>0</v>
      </c>
    </row>
    <row r="26" ht="13.65" customHeight="1">
      <c r="A26" t="s" s="3">
        <v>39</v>
      </c>
      <c r="B26" s="4">
        <v>1919041</v>
      </c>
      <c r="C26" s="4"/>
      <c r="D26" s="4"/>
      <c r="E26" s="4"/>
      <c r="F26" s="4"/>
      <c r="G26" s="4"/>
      <c r="H26" s="4"/>
      <c r="I26" s="5">
        <v>18.6622444</v>
      </c>
      <c r="J26" s="6"/>
      <c r="K26" s="7"/>
      <c r="L26" s="8">
        <v>1</v>
      </c>
      <c r="M26" s="8">
        <v>0</v>
      </c>
      <c r="N26" s="8">
        <v>0</v>
      </c>
      <c r="O26" s="8">
        <v>0</v>
      </c>
    </row>
    <row r="27" ht="13.65" customHeight="1">
      <c r="A27" t="s" s="3">
        <v>40</v>
      </c>
      <c r="B27" s="4">
        <v>1936535</v>
      </c>
      <c r="C27" s="4"/>
      <c r="D27" s="4"/>
      <c r="E27" s="4"/>
      <c r="F27" s="4"/>
      <c r="G27" s="4"/>
      <c r="H27" s="4"/>
      <c r="I27" s="5">
        <v>13.0307714</v>
      </c>
      <c r="J27" s="6"/>
      <c r="K27" s="7"/>
      <c r="L27" s="8">
        <v>0</v>
      </c>
      <c r="M27" s="8">
        <v>1</v>
      </c>
      <c r="N27" s="8">
        <v>0</v>
      </c>
      <c r="O27" s="8">
        <v>0</v>
      </c>
    </row>
    <row r="28" ht="13.65" customHeight="1">
      <c r="A28" t="s" s="3">
        <v>41</v>
      </c>
      <c r="B28" s="4">
        <v>1976548</v>
      </c>
      <c r="C28" s="4"/>
      <c r="D28" s="4"/>
      <c r="E28" s="4"/>
      <c r="F28" s="4"/>
      <c r="G28" s="4"/>
      <c r="H28" s="4"/>
      <c r="I28" s="5">
        <v>12.3370536</v>
      </c>
      <c r="J28" s="6"/>
      <c r="K28" s="7"/>
      <c r="L28" s="8">
        <v>0</v>
      </c>
      <c r="M28" s="8">
        <v>0</v>
      </c>
      <c r="N28" s="8">
        <v>1</v>
      </c>
      <c r="O28" s="8">
        <v>0</v>
      </c>
    </row>
    <row r="29" ht="13.65" customHeight="1">
      <c r="A29" t="s" s="3">
        <v>42</v>
      </c>
      <c r="B29" s="4">
        <v>2011545</v>
      </c>
      <c r="C29" s="4"/>
      <c r="D29" s="4"/>
      <c r="E29" s="4"/>
      <c r="F29" s="4"/>
      <c r="G29" s="4"/>
      <c r="H29" s="4"/>
      <c r="I29" s="5">
        <v>14.2280758</v>
      </c>
      <c r="J29" s="6"/>
      <c r="K29" s="7"/>
      <c r="L29" s="8">
        <v>0</v>
      </c>
      <c r="M29" s="8">
        <v>0</v>
      </c>
      <c r="N29" s="8">
        <v>0</v>
      </c>
      <c r="O29" s="8">
        <v>0</v>
      </c>
    </row>
    <row r="30" ht="13.65" customHeight="1">
      <c r="A30" t="s" s="3">
        <v>43</v>
      </c>
      <c r="B30" s="4">
        <v>2053663</v>
      </c>
      <c r="C30" s="4"/>
      <c r="D30" s="4"/>
      <c r="E30" s="4"/>
      <c r="F30" s="4"/>
      <c r="G30" s="4"/>
      <c r="H30" s="4"/>
      <c r="I30" s="5">
        <v>15.5902273</v>
      </c>
      <c r="J30" s="6"/>
      <c r="K30" s="7"/>
      <c r="L30" s="8">
        <v>1</v>
      </c>
      <c r="M30" s="8">
        <v>0</v>
      </c>
      <c r="N30" s="8">
        <v>0</v>
      </c>
      <c r="O30" s="8">
        <v>0</v>
      </c>
    </row>
    <row r="31" ht="13.65" customHeight="1">
      <c r="A31" t="s" s="3">
        <v>44</v>
      </c>
      <c r="B31" s="4">
        <v>2095216</v>
      </c>
      <c r="C31" s="4"/>
      <c r="D31" s="4"/>
      <c r="E31" s="4"/>
      <c r="F31" s="4"/>
      <c r="G31" s="4"/>
      <c r="H31" s="4"/>
      <c r="I31" s="5">
        <v>15.8389951</v>
      </c>
      <c r="J31" s="6"/>
      <c r="K31" s="7"/>
      <c r="L31" s="8">
        <v>0</v>
      </c>
      <c r="M31" s="8">
        <v>1</v>
      </c>
      <c r="N31" s="8">
        <v>0</v>
      </c>
      <c r="O31" s="8">
        <v>0</v>
      </c>
    </row>
    <row r="32" ht="13.65" customHeight="1">
      <c r="A32" t="s" s="3">
        <v>45</v>
      </c>
      <c r="B32" s="4">
        <v>2137689</v>
      </c>
      <c r="C32" s="4"/>
      <c r="D32" s="4"/>
      <c r="E32" s="4"/>
      <c r="F32" s="4"/>
      <c r="G32" s="4"/>
      <c r="H32" s="4"/>
      <c r="I32" s="5">
        <v>16.7008527</v>
      </c>
      <c r="J32" s="6"/>
      <c r="K32" s="7"/>
      <c r="L32" s="8">
        <v>0</v>
      </c>
      <c r="M32" s="8">
        <v>0</v>
      </c>
      <c r="N32" s="8">
        <v>1</v>
      </c>
      <c r="O32" s="8">
        <v>0</v>
      </c>
    </row>
    <row r="33" ht="13.65" customHeight="1">
      <c r="A33" t="s" s="3">
        <v>46</v>
      </c>
      <c r="B33" s="4">
        <v>2173838</v>
      </c>
      <c r="C33" s="4"/>
      <c r="D33" s="4"/>
      <c r="E33" s="4"/>
      <c r="F33" s="4"/>
      <c r="G33" s="4"/>
      <c r="H33" s="4"/>
      <c r="I33" s="5">
        <v>14.6624959</v>
      </c>
      <c r="J33" s="6"/>
      <c r="K33" s="7"/>
      <c r="L33" s="8">
        <v>0</v>
      </c>
      <c r="M33" s="8">
        <v>0</v>
      </c>
      <c r="N33" s="8">
        <v>0</v>
      </c>
      <c r="O33" s="8">
        <v>0</v>
      </c>
    </row>
    <row r="34" ht="13.65" customHeight="1">
      <c r="A34" t="s" s="3">
        <v>47</v>
      </c>
      <c r="B34" s="4">
        <v>2210937</v>
      </c>
      <c r="C34" s="4"/>
      <c r="D34" s="4"/>
      <c r="E34" s="4"/>
      <c r="F34" s="4"/>
      <c r="G34" s="4"/>
      <c r="H34" s="4"/>
      <c r="I34" s="5">
        <v>12.7501838</v>
      </c>
      <c r="J34" s="6"/>
      <c r="K34" s="7"/>
      <c r="L34" s="8">
        <v>1</v>
      </c>
      <c r="M34" s="8">
        <v>0</v>
      </c>
      <c r="N34" s="8">
        <v>0</v>
      </c>
      <c r="O34" s="8">
        <v>0</v>
      </c>
    </row>
    <row r="35" ht="13.65" customHeight="1">
      <c r="A35" t="s" s="3">
        <v>48</v>
      </c>
      <c r="B35" s="4">
        <v>2262415</v>
      </c>
      <c r="C35" s="4"/>
      <c r="D35" s="4"/>
      <c r="E35" s="4"/>
      <c r="F35" s="4"/>
      <c r="G35" s="4"/>
      <c r="H35" s="4"/>
      <c r="I35" s="5">
        <v>13.3209111</v>
      </c>
      <c r="J35" s="6"/>
      <c r="K35" s="7"/>
      <c r="L35" s="8">
        <v>0</v>
      </c>
      <c r="M35" s="8">
        <v>1</v>
      </c>
      <c r="N35" s="8">
        <v>0</v>
      </c>
      <c r="O35" s="8">
        <v>0</v>
      </c>
    </row>
    <row r="36" ht="13.65" customHeight="1">
      <c r="A36" t="s" s="3">
        <v>49</v>
      </c>
      <c r="B36" s="4">
        <v>2315101</v>
      </c>
      <c r="C36" s="4"/>
      <c r="D36" s="4"/>
      <c r="E36" s="4"/>
      <c r="F36" s="4"/>
      <c r="G36" s="4"/>
      <c r="H36" s="4"/>
      <c r="I36" s="5">
        <v>12.9315445</v>
      </c>
      <c r="J36" s="6"/>
      <c r="K36" s="7"/>
      <c r="L36" s="8">
        <v>0</v>
      </c>
      <c r="M36" s="8">
        <v>0</v>
      </c>
      <c r="N36" s="8">
        <v>1</v>
      </c>
      <c r="O36" s="8">
        <v>0</v>
      </c>
    </row>
    <row r="37" ht="13.65" customHeight="1">
      <c r="A37" t="s" s="3">
        <v>50</v>
      </c>
      <c r="B37" s="4">
        <v>2358041</v>
      </c>
      <c r="C37" s="4"/>
      <c r="D37" s="4"/>
      <c r="E37" s="4"/>
      <c r="F37" s="4"/>
      <c r="G37" s="4"/>
      <c r="H37" s="4"/>
      <c r="I37" s="5">
        <v>11.4644234</v>
      </c>
      <c r="J37" s="6"/>
      <c r="K37" s="7"/>
      <c r="L37" s="8">
        <v>0</v>
      </c>
      <c r="M37" s="8">
        <v>0</v>
      </c>
      <c r="N37" s="8">
        <v>0</v>
      </c>
      <c r="O37" s="8">
        <v>0</v>
      </c>
    </row>
    <row r="38" ht="13.65" customHeight="1">
      <c r="A38" t="s" s="3">
        <v>51</v>
      </c>
      <c r="B38" s="4">
        <v>2423922</v>
      </c>
      <c r="C38" s="4"/>
      <c r="D38" s="4"/>
      <c r="E38" s="4"/>
      <c r="F38" s="4"/>
      <c r="G38" s="4"/>
      <c r="H38" s="4"/>
      <c r="I38" s="5">
        <v>14.8384346</v>
      </c>
      <c r="J38" s="6"/>
      <c r="K38" s="7"/>
      <c r="L38" s="8">
        <v>1</v>
      </c>
      <c r="M38" s="8">
        <v>0</v>
      </c>
      <c r="N38" s="8">
        <v>0</v>
      </c>
      <c r="O38" s="8">
        <v>0</v>
      </c>
    </row>
    <row r="39" ht="13.65" customHeight="1">
      <c r="A39" t="s" s="3">
        <v>52</v>
      </c>
      <c r="B39" s="4">
        <v>2480570</v>
      </c>
      <c r="C39" s="4"/>
      <c r="D39" s="4"/>
      <c r="E39" s="4"/>
      <c r="F39" s="4"/>
      <c r="G39" s="4"/>
      <c r="H39" s="4"/>
      <c r="I39" s="5">
        <v>16.5145223</v>
      </c>
      <c r="J39" s="6"/>
      <c r="K39" s="7"/>
      <c r="L39" s="8">
        <v>0</v>
      </c>
      <c r="M39" s="8">
        <v>1</v>
      </c>
      <c r="N39" s="8">
        <v>0</v>
      </c>
      <c r="O39" s="8">
        <v>0</v>
      </c>
    </row>
    <row r="40" ht="13.65" customHeight="1">
      <c r="A40" t="s" s="3">
        <v>53</v>
      </c>
      <c r="B40" s="4">
        <v>2534023</v>
      </c>
      <c r="C40" s="4"/>
      <c r="D40" s="4"/>
      <c r="E40" s="4"/>
      <c r="F40" s="4"/>
      <c r="G40" s="4"/>
      <c r="H40" s="4"/>
      <c r="I40" s="5">
        <v>15.7995502</v>
      </c>
      <c r="J40" s="6"/>
      <c r="K40" s="7"/>
      <c r="L40" s="8">
        <v>0</v>
      </c>
      <c r="M40" s="8">
        <v>0</v>
      </c>
      <c r="N40" s="8">
        <v>1</v>
      </c>
      <c r="O40" s="8">
        <v>0</v>
      </c>
    </row>
    <row r="41" ht="13.65" customHeight="1">
      <c r="A41" t="s" s="3">
        <v>54</v>
      </c>
      <c r="B41" s="4">
        <v>2593728</v>
      </c>
      <c r="C41" s="4"/>
      <c r="D41" s="4"/>
      <c r="E41" s="4"/>
      <c r="F41" s="4"/>
      <c r="G41" s="4"/>
      <c r="H41" s="4"/>
      <c r="I41" s="5">
        <v>16.3085088</v>
      </c>
      <c r="J41" s="6"/>
      <c r="K41" s="7"/>
      <c r="L41" s="8">
        <v>0</v>
      </c>
      <c r="M41" s="8">
        <v>0</v>
      </c>
      <c r="N41" s="8">
        <v>0</v>
      </c>
      <c r="O41" s="8">
        <v>0</v>
      </c>
    </row>
    <row r="42" ht="13.65" customHeight="1">
      <c r="A42" t="s" s="3">
        <v>55</v>
      </c>
      <c r="B42" s="4">
        <v>2644762</v>
      </c>
      <c r="C42" s="4"/>
      <c r="D42" s="4"/>
      <c r="E42" s="4"/>
      <c r="F42" s="4"/>
      <c r="G42" s="4"/>
      <c r="H42" s="4"/>
      <c r="I42" s="5">
        <v>15.7473975</v>
      </c>
      <c r="J42" s="6"/>
      <c r="K42" s="7"/>
      <c r="L42" s="8">
        <v>1</v>
      </c>
      <c r="M42" s="8">
        <v>0</v>
      </c>
      <c r="N42" s="8">
        <v>0</v>
      </c>
      <c r="O42" s="8">
        <v>0</v>
      </c>
    </row>
    <row r="43" ht="13.65" customHeight="1">
      <c r="A43" t="s" s="3">
        <v>56</v>
      </c>
      <c r="B43" s="4">
        <v>2786501</v>
      </c>
      <c r="C43" s="4"/>
      <c r="D43" s="4"/>
      <c r="E43" s="4"/>
      <c r="F43" s="4"/>
      <c r="G43" s="4"/>
      <c r="H43" s="4"/>
      <c r="I43" s="5">
        <v>13.4584097</v>
      </c>
      <c r="J43" s="6"/>
      <c r="K43" s="7"/>
      <c r="L43" s="8">
        <v>0</v>
      </c>
      <c r="M43" s="8">
        <v>1</v>
      </c>
      <c r="N43" s="8">
        <v>0</v>
      </c>
      <c r="O43" s="8">
        <v>0</v>
      </c>
    </row>
    <row r="44" ht="13.65" customHeight="1">
      <c r="A44" t="s" s="3">
        <v>57</v>
      </c>
      <c r="B44" s="4">
        <v>2846434</v>
      </c>
      <c r="C44" s="4"/>
      <c r="D44" s="4"/>
      <c r="E44" s="4"/>
      <c r="F44" s="4"/>
      <c r="G44" s="4"/>
      <c r="H44" s="4"/>
      <c r="I44" s="5">
        <v>19.0077837</v>
      </c>
      <c r="J44" s="6"/>
      <c r="K44" s="7"/>
      <c r="L44" s="8">
        <v>0</v>
      </c>
      <c r="M44" s="8">
        <v>0</v>
      </c>
      <c r="N44" s="8">
        <v>1</v>
      </c>
      <c r="O44" s="8">
        <v>0</v>
      </c>
    </row>
    <row r="45" ht="13.65" customHeight="1">
      <c r="A45" t="s" s="3">
        <v>58</v>
      </c>
      <c r="B45" s="4">
        <v>2907362</v>
      </c>
      <c r="C45" s="4"/>
      <c r="D45" s="4"/>
      <c r="E45" s="4"/>
      <c r="F45" s="4"/>
      <c r="G45" s="4"/>
      <c r="H45" s="4"/>
      <c r="I45" s="5">
        <v>22.5616352</v>
      </c>
      <c r="J45" s="6"/>
      <c r="K45" s="7"/>
      <c r="L45" s="8">
        <v>0</v>
      </c>
      <c r="M45" s="8">
        <v>0</v>
      </c>
      <c r="N45" s="8">
        <v>0</v>
      </c>
      <c r="O45" s="8">
        <v>0</v>
      </c>
    </row>
    <row r="46" ht="13.65" customHeight="1">
      <c r="A46" t="s" s="3">
        <v>59</v>
      </c>
      <c r="B46" s="4">
        <v>2954443</v>
      </c>
      <c r="C46" s="4"/>
      <c r="D46" s="4"/>
      <c r="E46" s="4"/>
      <c r="F46" s="4"/>
      <c r="G46" s="4"/>
      <c r="H46" s="4"/>
      <c r="I46" s="5">
        <v>14.9285736</v>
      </c>
      <c r="J46" s="6"/>
      <c r="K46" s="7"/>
      <c r="L46" s="8">
        <v>1</v>
      </c>
      <c r="M46" s="8">
        <v>0</v>
      </c>
      <c r="N46" s="8">
        <v>0</v>
      </c>
      <c r="O46" s="8">
        <v>0</v>
      </c>
    </row>
    <row r="47" ht="13.65" customHeight="1">
      <c r="A47" t="s" s="3">
        <v>60</v>
      </c>
      <c r="B47" s="4">
        <v>3003602</v>
      </c>
      <c r="C47" s="4"/>
      <c r="D47" s="4"/>
      <c r="E47" s="4"/>
      <c r="F47" s="4"/>
      <c r="G47" s="4"/>
      <c r="H47" s="4"/>
      <c r="I47" s="5">
        <v>15.7469742</v>
      </c>
      <c r="J47" s="6"/>
      <c r="K47" s="7"/>
      <c r="L47" s="8">
        <v>0</v>
      </c>
      <c r="M47" s="8">
        <v>1</v>
      </c>
      <c r="N47" s="8">
        <v>0</v>
      </c>
      <c r="O47" s="8">
        <v>0</v>
      </c>
    </row>
    <row r="48" ht="13.65" customHeight="1">
      <c r="A48" t="s" s="3">
        <v>61</v>
      </c>
      <c r="B48" s="4">
        <v>3064203</v>
      </c>
      <c r="C48" s="4"/>
      <c r="D48" s="4"/>
      <c r="E48" s="4"/>
      <c r="F48" s="4"/>
      <c r="G48" s="4"/>
      <c r="H48" s="4"/>
      <c r="I48" s="5">
        <v>16.6058848</v>
      </c>
      <c r="J48" s="6"/>
      <c r="K48" s="7"/>
      <c r="L48" s="8">
        <v>0</v>
      </c>
      <c r="M48" s="8">
        <v>0</v>
      </c>
      <c r="N48" s="8">
        <v>1</v>
      </c>
      <c r="O48" s="8">
        <v>0</v>
      </c>
    </row>
    <row r="49" ht="13.65" customHeight="1">
      <c r="A49" t="s" s="3">
        <v>62</v>
      </c>
      <c r="B49" s="4">
        <v>3132988</v>
      </c>
      <c r="C49" s="4"/>
      <c r="D49" s="4"/>
      <c r="E49" s="4"/>
      <c r="F49" s="4"/>
      <c r="G49" s="4"/>
      <c r="H49" s="4"/>
      <c r="I49" s="5">
        <v>16.0095515</v>
      </c>
      <c r="J49" s="6"/>
      <c r="K49" s="7"/>
      <c r="L49" s="8">
        <v>0</v>
      </c>
      <c r="M49" s="8">
        <v>0</v>
      </c>
      <c r="N49" s="8">
        <v>0</v>
      </c>
      <c r="O49" s="8">
        <v>0</v>
      </c>
    </row>
    <row r="50" ht="13.65" customHeight="1">
      <c r="A50" t="s" s="3">
        <v>63</v>
      </c>
      <c r="B50" s="4">
        <v>3174957</v>
      </c>
      <c r="C50" s="4"/>
      <c r="D50" s="4"/>
      <c r="E50" s="4"/>
      <c r="F50" s="4"/>
      <c r="G50" s="4"/>
      <c r="H50" s="4"/>
      <c r="I50" s="5">
        <v>13.8805088</v>
      </c>
      <c r="J50" s="6"/>
      <c r="K50" s="7"/>
      <c r="L50" s="8">
        <v>1</v>
      </c>
      <c r="M50" s="8">
        <v>0</v>
      </c>
      <c r="N50" s="8">
        <v>0</v>
      </c>
      <c r="O50" s="8">
        <v>0</v>
      </c>
    </row>
    <row r="51" ht="13.65" customHeight="1">
      <c r="A51" t="s" s="3">
        <v>64</v>
      </c>
      <c r="B51" s="4">
        <v>3249564</v>
      </c>
      <c r="C51" s="4"/>
      <c r="D51" s="4"/>
      <c r="E51" s="4"/>
      <c r="F51" s="4"/>
      <c r="G51" s="4"/>
      <c r="H51" s="4"/>
      <c r="I51" s="5">
        <v>15.4256459</v>
      </c>
      <c r="J51" s="6"/>
      <c r="K51" s="7"/>
      <c r="L51" s="8">
        <v>0</v>
      </c>
      <c r="M51" s="8">
        <v>1</v>
      </c>
      <c r="N51" s="8">
        <v>0</v>
      </c>
      <c r="O51" s="8">
        <v>0</v>
      </c>
    </row>
    <row r="52" ht="13.65" customHeight="1">
      <c r="A52" t="s" s="3">
        <v>65</v>
      </c>
      <c r="B52" s="4">
        <v>3332285</v>
      </c>
      <c r="C52" s="4"/>
      <c r="D52" s="4"/>
      <c r="E52" s="4"/>
      <c r="F52" s="4"/>
      <c r="G52" s="4"/>
      <c r="H52" s="4"/>
      <c r="I52" s="5">
        <v>14.3002003</v>
      </c>
      <c r="J52" s="6"/>
      <c r="K52" s="7"/>
      <c r="L52" s="8">
        <v>0</v>
      </c>
      <c r="M52" s="8">
        <v>0</v>
      </c>
      <c r="N52" s="8">
        <v>1</v>
      </c>
      <c r="O52" s="8">
        <v>0</v>
      </c>
    </row>
    <row r="53" ht="13.65" customHeight="1">
      <c r="A53" t="s" s="3">
        <v>66</v>
      </c>
      <c r="B53" s="4">
        <v>3365086</v>
      </c>
      <c r="C53" s="4"/>
      <c r="D53" s="4"/>
      <c r="E53" s="4"/>
      <c r="F53" s="4"/>
      <c r="G53" s="4"/>
      <c r="H53" s="4"/>
      <c r="I53" s="5">
        <v>14.8364153</v>
      </c>
      <c r="J53" s="6"/>
      <c r="K53" s="7"/>
      <c r="L53" s="8">
        <v>0</v>
      </c>
      <c r="M53" s="8">
        <v>0</v>
      </c>
      <c r="N53" s="8">
        <v>0</v>
      </c>
      <c r="O53" s="8">
        <v>0</v>
      </c>
    </row>
    <row r="54" ht="13.65" customHeight="1">
      <c r="A54" t="s" s="3">
        <v>67</v>
      </c>
      <c r="B54" s="4">
        <v>3441196</v>
      </c>
      <c r="C54" s="4"/>
      <c r="D54" s="4"/>
      <c r="E54" s="4"/>
      <c r="F54" s="4"/>
      <c r="G54" s="4"/>
      <c r="H54" s="4"/>
      <c r="I54" s="5">
        <v>15.0611709</v>
      </c>
      <c r="J54" s="6"/>
      <c r="K54" s="7"/>
      <c r="L54" s="8">
        <v>1</v>
      </c>
      <c r="M54" s="8">
        <v>0</v>
      </c>
      <c r="N54" s="8">
        <v>0</v>
      </c>
      <c r="O54" s="8">
        <v>0</v>
      </c>
    </row>
    <row r="55" ht="13.65" customHeight="1">
      <c r="A55" t="s" s="3">
        <v>68</v>
      </c>
      <c r="B55" s="4">
        <v>3479485</v>
      </c>
      <c r="C55" s="4"/>
      <c r="D55" s="4"/>
      <c r="E55" s="4"/>
      <c r="F55" s="4"/>
      <c r="G55" s="4"/>
      <c r="H55" s="4"/>
      <c r="I55" s="5">
        <v>15.0521205</v>
      </c>
      <c r="J55" s="6"/>
      <c r="K55" s="7"/>
      <c r="L55" s="8">
        <v>0</v>
      </c>
      <c r="M55" s="8">
        <v>1</v>
      </c>
      <c r="N55" s="8">
        <v>0</v>
      </c>
      <c r="O55" s="8">
        <v>0</v>
      </c>
    </row>
    <row r="56" ht="13.65" customHeight="1">
      <c r="A56" t="s" s="3">
        <v>69</v>
      </c>
      <c r="B56" s="4">
        <v>3515151</v>
      </c>
      <c r="C56" s="4"/>
      <c r="D56" s="4"/>
      <c r="E56" s="4"/>
      <c r="F56" s="4"/>
      <c r="G56" s="4"/>
      <c r="H56" s="4"/>
      <c r="I56" s="5">
        <v>14.3477945</v>
      </c>
      <c r="J56" s="6"/>
      <c r="K56" s="7"/>
      <c r="L56" s="8">
        <v>0</v>
      </c>
      <c r="M56" s="8">
        <v>0</v>
      </c>
      <c r="N56" s="8">
        <v>1</v>
      </c>
      <c r="O56" s="8">
        <v>0</v>
      </c>
    </row>
    <row r="57" ht="13.65" customHeight="1">
      <c r="A57" t="s" s="3">
        <v>70</v>
      </c>
      <c r="B57" s="4">
        <v>3588556</v>
      </c>
      <c r="C57" s="4"/>
      <c r="D57" s="4"/>
      <c r="E57" s="4"/>
      <c r="F57" s="4"/>
      <c r="G57" s="4"/>
      <c r="H57" s="4"/>
      <c r="I57" s="5">
        <v>13.2321967</v>
      </c>
      <c r="J57" s="6"/>
      <c r="K57" s="7"/>
      <c r="L57" s="8">
        <v>0</v>
      </c>
      <c r="M57" s="8">
        <v>0</v>
      </c>
      <c r="N57" s="8">
        <v>0</v>
      </c>
      <c r="O57" s="8">
        <v>0</v>
      </c>
    </row>
    <row r="58" ht="13.65" customHeight="1">
      <c r="A58" t="s" s="3">
        <v>71</v>
      </c>
      <c r="B58" s="4">
        <v>3622879</v>
      </c>
      <c r="C58" s="4">
        <v>6.84</v>
      </c>
      <c r="D58" s="4"/>
      <c r="E58" s="4"/>
      <c r="F58" s="4"/>
      <c r="G58" s="4"/>
      <c r="H58" s="4"/>
      <c r="I58" s="5">
        <v>12.0925347</v>
      </c>
      <c r="J58" s="6"/>
      <c r="K58" s="7"/>
      <c r="L58" s="8">
        <v>1</v>
      </c>
      <c r="M58" s="8">
        <v>0</v>
      </c>
      <c r="N58" s="8">
        <v>0</v>
      </c>
      <c r="O58" s="8">
        <v>0</v>
      </c>
    </row>
    <row r="59" ht="13.65" customHeight="1">
      <c r="A59" t="s" s="3">
        <v>72</v>
      </c>
      <c r="B59" s="4">
        <v>3642375</v>
      </c>
      <c r="C59" s="4">
        <v>6.37</v>
      </c>
      <c r="D59" s="4"/>
      <c r="E59" s="4"/>
      <c r="F59" s="4"/>
      <c r="G59" s="4"/>
      <c r="H59" s="4"/>
      <c r="I59" s="5">
        <v>13.5251458</v>
      </c>
      <c r="J59" s="6"/>
      <c r="K59" s="7"/>
      <c r="L59" s="8">
        <v>0</v>
      </c>
      <c r="M59" s="8">
        <v>1</v>
      </c>
      <c r="N59" s="8">
        <v>0</v>
      </c>
      <c r="O59" s="8">
        <v>0</v>
      </c>
    </row>
    <row r="60" ht="13.65" customHeight="1">
      <c r="A60" t="s" s="3">
        <v>73</v>
      </c>
      <c r="B60" s="4">
        <v>3656168</v>
      </c>
      <c r="C60" s="4">
        <v>6.38</v>
      </c>
      <c r="D60" s="4"/>
      <c r="E60" s="4"/>
      <c r="F60" s="4"/>
      <c r="G60" s="4"/>
      <c r="H60" s="4"/>
      <c r="I60" s="5">
        <v>13.6488497</v>
      </c>
      <c r="J60" s="6"/>
      <c r="K60" s="7"/>
      <c r="L60" s="8">
        <v>0</v>
      </c>
      <c r="M60" s="8">
        <v>0</v>
      </c>
      <c r="N60" s="8">
        <v>1</v>
      </c>
      <c r="O60" s="8">
        <v>0</v>
      </c>
    </row>
    <row r="61" ht="13.65" customHeight="1">
      <c r="A61" t="s" s="3">
        <v>74</v>
      </c>
      <c r="B61" s="4">
        <v>3672401</v>
      </c>
      <c r="C61" s="4">
        <v>6.51</v>
      </c>
      <c r="D61" s="4"/>
      <c r="E61" s="4"/>
      <c r="F61" s="4"/>
      <c r="G61" s="4"/>
      <c r="H61" s="4"/>
      <c r="I61" s="5">
        <v>13.2195054</v>
      </c>
      <c r="J61" s="6"/>
      <c r="K61" s="7"/>
      <c r="L61" s="8">
        <v>0</v>
      </c>
      <c r="M61" s="8">
        <v>0</v>
      </c>
      <c r="N61" s="8">
        <v>0</v>
      </c>
      <c r="O61" s="8">
        <v>0</v>
      </c>
    </row>
    <row r="62" ht="13.65" customHeight="1">
      <c r="A62" t="s" s="3">
        <v>75</v>
      </c>
      <c r="B62" s="4">
        <v>3698901</v>
      </c>
      <c r="C62" s="4">
        <v>6.94</v>
      </c>
      <c r="D62" s="4"/>
      <c r="E62" s="4">
        <v>1413756.7</v>
      </c>
      <c r="F62" s="4">
        <v>2104634.88</v>
      </c>
      <c r="G62" s="4"/>
      <c r="H62" s="4"/>
      <c r="I62" s="5">
        <v>13.0581583</v>
      </c>
      <c r="J62" s="6"/>
      <c r="K62" s="7"/>
      <c r="L62" s="8">
        <v>1</v>
      </c>
      <c r="M62" s="8">
        <v>0</v>
      </c>
      <c r="N62" s="8">
        <v>0</v>
      </c>
      <c r="O62" s="8">
        <v>0</v>
      </c>
    </row>
    <row r="63" ht="13.65" customHeight="1">
      <c r="A63" t="s" s="3">
        <v>76</v>
      </c>
      <c r="B63" s="4">
        <v>3752177</v>
      </c>
      <c r="C63" s="4">
        <v>7.14</v>
      </c>
      <c r="D63" s="4"/>
      <c r="E63" s="4">
        <v>1430841.3</v>
      </c>
      <c r="F63" s="4">
        <v>2121344</v>
      </c>
      <c r="G63" s="4"/>
      <c r="H63" s="4"/>
      <c r="I63" s="5">
        <v>13.3393005</v>
      </c>
      <c r="J63" s="6"/>
      <c r="K63" s="7"/>
      <c r="L63" s="8">
        <v>0</v>
      </c>
      <c r="M63" s="8">
        <v>1</v>
      </c>
      <c r="N63" s="8">
        <v>0</v>
      </c>
      <c r="O63" s="8">
        <v>0</v>
      </c>
    </row>
    <row r="64" ht="13.65" customHeight="1">
      <c r="A64" t="s" s="3">
        <v>77</v>
      </c>
      <c r="B64" s="4">
        <v>3804491</v>
      </c>
      <c r="C64" s="4">
        <v>6.69</v>
      </c>
      <c r="D64" s="4"/>
      <c r="E64" s="4">
        <v>1452578.8</v>
      </c>
      <c r="F64" s="4">
        <v>2126754.31</v>
      </c>
      <c r="G64" s="4"/>
      <c r="H64" s="4"/>
      <c r="I64" s="5">
        <v>12.1790035</v>
      </c>
      <c r="J64" s="6"/>
      <c r="K64" s="7"/>
      <c r="L64" s="8">
        <v>0</v>
      </c>
      <c r="M64" s="8">
        <v>0</v>
      </c>
      <c r="N64" s="8">
        <v>1</v>
      </c>
      <c r="O64" s="8">
        <v>0</v>
      </c>
    </row>
    <row r="65" ht="13.65" customHeight="1">
      <c r="A65" t="s" s="3">
        <v>78</v>
      </c>
      <c r="B65" s="4">
        <v>3877110</v>
      </c>
      <c r="C65" s="4">
        <v>6.51</v>
      </c>
      <c r="D65" s="4"/>
      <c r="E65" s="4">
        <v>1467044.1</v>
      </c>
      <c r="F65" s="4">
        <v>2131524.57</v>
      </c>
      <c r="G65" s="4"/>
      <c r="H65" s="4"/>
      <c r="I65" s="5">
        <v>12.5766457</v>
      </c>
      <c r="J65" s="6"/>
      <c r="K65" s="7"/>
      <c r="L65" s="8">
        <v>0</v>
      </c>
      <c r="M65" s="8">
        <v>0</v>
      </c>
      <c r="N65" s="8">
        <v>0</v>
      </c>
      <c r="O65" s="8">
        <v>0</v>
      </c>
    </row>
    <row r="66" ht="13.65" customHeight="1">
      <c r="A66" t="s" s="3">
        <v>79</v>
      </c>
      <c r="B66" s="4">
        <v>3919392</v>
      </c>
      <c r="C66" s="4">
        <v>5.63</v>
      </c>
      <c r="D66" s="4">
        <v>71.01000000000001</v>
      </c>
      <c r="E66" s="4">
        <v>1480257.3</v>
      </c>
      <c r="F66" s="4">
        <v>2134968.5</v>
      </c>
      <c r="G66" s="4"/>
      <c r="H66" s="4"/>
      <c r="I66" s="5">
        <v>13.5653842</v>
      </c>
      <c r="J66" s="6"/>
      <c r="K66" s="7"/>
      <c r="L66" s="8">
        <v>1</v>
      </c>
      <c r="M66" s="8">
        <v>0</v>
      </c>
      <c r="N66" s="8">
        <v>0</v>
      </c>
      <c r="O66" s="8">
        <v>0</v>
      </c>
    </row>
    <row r="67" ht="13.65" customHeight="1">
      <c r="A67" t="s" s="3">
        <v>80</v>
      </c>
      <c r="B67" s="4">
        <v>3948661</v>
      </c>
      <c r="C67" s="4">
        <v>5.14</v>
      </c>
      <c r="D67" s="4">
        <v>71.33</v>
      </c>
      <c r="E67" s="4">
        <v>1497945.3</v>
      </c>
      <c r="F67" s="4">
        <v>2151785.96</v>
      </c>
      <c r="G67" s="4"/>
      <c r="H67" s="4"/>
      <c r="I67" s="5">
        <v>14.8698555</v>
      </c>
      <c r="J67" s="6"/>
      <c r="K67" s="7"/>
      <c r="L67" s="8">
        <v>0</v>
      </c>
      <c r="M67" s="8">
        <v>1</v>
      </c>
      <c r="N67" s="8">
        <v>0</v>
      </c>
      <c r="O67" s="8">
        <v>0</v>
      </c>
    </row>
    <row r="68" ht="13.65" customHeight="1">
      <c r="A68" t="s" s="3">
        <v>81</v>
      </c>
      <c r="B68" s="4">
        <v>4002704</v>
      </c>
      <c r="C68" s="4">
        <v>5</v>
      </c>
      <c r="D68" s="4">
        <v>71.44</v>
      </c>
      <c r="E68" s="4">
        <v>1511378.4</v>
      </c>
      <c r="F68" s="4">
        <v>2161987.13</v>
      </c>
      <c r="G68" s="4"/>
      <c r="H68" s="4"/>
      <c r="I68" s="5">
        <v>15.9215617</v>
      </c>
      <c r="J68" s="6"/>
      <c r="K68" s="7"/>
      <c r="L68" s="8">
        <v>0</v>
      </c>
      <c r="M68" s="8">
        <v>0</v>
      </c>
      <c r="N68" s="8">
        <v>1</v>
      </c>
      <c r="O68" s="8">
        <v>0</v>
      </c>
    </row>
    <row r="69" ht="13.65" customHeight="1">
      <c r="A69" t="s" s="3">
        <v>82</v>
      </c>
      <c r="B69" s="4">
        <v>4037575</v>
      </c>
      <c r="C69" s="4">
        <v>4.59</v>
      </c>
      <c r="D69" s="4">
        <v>71.73</v>
      </c>
      <c r="E69" s="4">
        <v>1517087</v>
      </c>
      <c r="F69" s="4">
        <v>2174005.69</v>
      </c>
      <c r="G69" s="4"/>
      <c r="H69" s="4"/>
      <c r="I69" s="5">
        <v>18.3674694</v>
      </c>
      <c r="J69" s="6"/>
      <c r="K69" s="7"/>
      <c r="L69" s="8">
        <v>0</v>
      </c>
      <c r="M69" s="8">
        <v>0</v>
      </c>
      <c r="N69" s="8">
        <v>0</v>
      </c>
      <c r="O69" s="8">
        <v>0</v>
      </c>
    </row>
    <row r="70" ht="13.65" customHeight="1">
      <c r="A70" t="s" s="3">
        <v>83</v>
      </c>
      <c r="B70" s="4">
        <v>4061573</v>
      </c>
      <c r="C70" s="4">
        <v>4.44</v>
      </c>
      <c r="D70" s="4">
        <v>72.2</v>
      </c>
      <c r="E70" s="4">
        <v>1514665.2</v>
      </c>
      <c r="F70" s="4">
        <v>2180469.27</v>
      </c>
      <c r="G70" s="4"/>
      <c r="H70" s="4"/>
      <c r="I70" s="5">
        <v>17.891695</v>
      </c>
      <c r="J70" s="6"/>
      <c r="K70" s="7"/>
      <c r="L70" s="8">
        <v>1</v>
      </c>
      <c r="M70" s="8">
        <v>0</v>
      </c>
      <c r="N70" s="8">
        <v>0</v>
      </c>
      <c r="O70" s="8">
        <v>0</v>
      </c>
    </row>
    <row r="71" ht="13.65" customHeight="1">
      <c r="A71" t="s" s="3">
        <v>84</v>
      </c>
      <c r="B71" s="4">
        <v>4121578</v>
      </c>
      <c r="C71" s="4">
        <v>4.33</v>
      </c>
      <c r="D71" s="4">
        <v>72.41</v>
      </c>
      <c r="E71" s="4">
        <v>1529471.1</v>
      </c>
      <c r="F71" s="4">
        <v>2206763.41</v>
      </c>
      <c r="G71" s="4"/>
      <c r="H71" s="4"/>
      <c r="I71" s="5">
        <v>16.1787637</v>
      </c>
      <c r="J71" s="6"/>
      <c r="K71" s="7"/>
      <c r="L71" s="8">
        <v>0</v>
      </c>
      <c r="M71" s="8">
        <v>1</v>
      </c>
      <c r="N71" s="8">
        <v>0</v>
      </c>
      <c r="O71" s="8">
        <v>0</v>
      </c>
    </row>
    <row r="72" ht="13.65" customHeight="1">
      <c r="A72" t="s" s="3">
        <v>85</v>
      </c>
      <c r="B72" s="4">
        <v>4169047</v>
      </c>
      <c r="C72" s="4">
        <v>4.32</v>
      </c>
      <c r="D72" s="4">
        <v>72.65000000000001</v>
      </c>
      <c r="E72" s="4">
        <v>1543963.1</v>
      </c>
      <c r="F72" s="4">
        <v>2223975.68</v>
      </c>
      <c r="G72" s="4"/>
      <c r="H72" s="4"/>
      <c r="I72" s="5">
        <v>17.1531568</v>
      </c>
      <c r="J72" s="6"/>
      <c r="K72" s="7"/>
      <c r="L72" s="8">
        <v>0</v>
      </c>
      <c r="M72" s="8">
        <v>0</v>
      </c>
      <c r="N72" s="8">
        <v>1</v>
      </c>
      <c r="O72" s="8">
        <v>0</v>
      </c>
    </row>
    <row r="73" ht="13.65" customHeight="1">
      <c r="A73" t="s" s="3">
        <v>86</v>
      </c>
      <c r="B73" s="4">
        <v>4222019</v>
      </c>
      <c r="C73" s="4">
        <v>4.43</v>
      </c>
      <c r="D73" s="4">
        <v>72.88</v>
      </c>
      <c r="E73" s="4">
        <v>1568947.3</v>
      </c>
      <c r="F73" s="4">
        <v>2247349.72</v>
      </c>
      <c r="G73" s="4"/>
      <c r="H73" s="4"/>
      <c r="I73" s="5">
        <v>17.017053</v>
      </c>
      <c r="J73" s="6"/>
      <c r="K73" s="7"/>
      <c r="L73" s="8">
        <v>0</v>
      </c>
      <c r="M73" s="8">
        <v>0</v>
      </c>
      <c r="N73" s="8">
        <v>0</v>
      </c>
      <c r="O73" s="8">
        <v>0</v>
      </c>
    </row>
    <row r="74" ht="13.65" customHeight="1">
      <c r="A74" t="s" s="3">
        <v>87</v>
      </c>
      <c r="B74" s="4">
        <v>4267921</v>
      </c>
      <c r="C74" s="4">
        <v>4.2</v>
      </c>
      <c r="D74" s="4">
        <v>73.09999999999999</v>
      </c>
      <c r="E74" s="4">
        <v>1575558.6</v>
      </c>
      <c r="F74" s="4">
        <v>2263393.83</v>
      </c>
      <c r="G74" s="4"/>
      <c r="H74" s="4"/>
      <c r="I74" s="5">
        <v>13.6756031</v>
      </c>
      <c r="J74" s="6"/>
      <c r="K74" s="7"/>
      <c r="L74" s="8">
        <v>1</v>
      </c>
      <c r="M74" s="8">
        <v>0</v>
      </c>
      <c r="N74" s="8">
        <v>0</v>
      </c>
      <c r="O74" s="8">
        <v>0</v>
      </c>
    </row>
    <row r="75" ht="13.65" customHeight="1">
      <c r="A75" t="s" s="3">
        <v>88</v>
      </c>
      <c r="B75" s="4">
        <v>4340943</v>
      </c>
      <c r="C75" s="4">
        <v>4.06</v>
      </c>
      <c r="D75" s="4">
        <v>73.47</v>
      </c>
      <c r="E75" s="4">
        <v>1590562</v>
      </c>
      <c r="F75" s="4">
        <v>2272248.83</v>
      </c>
      <c r="G75" s="4"/>
      <c r="H75" s="4"/>
      <c r="I75" s="5">
        <v>12.8455548</v>
      </c>
      <c r="J75" s="6"/>
      <c r="K75" s="7"/>
      <c r="L75" s="8">
        <v>0</v>
      </c>
      <c r="M75" s="8">
        <v>1</v>
      </c>
      <c r="N75" s="8">
        <v>0</v>
      </c>
      <c r="O75" s="8">
        <v>0</v>
      </c>
    </row>
    <row r="76" ht="13.65" customHeight="1">
      <c r="A76" t="s" s="3">
        <v>89</v>
      </c>
      <c r="B76" s="4">
        <v>4371401</v>
      </c>
      <c r="C76" s="4">
        <v>3.94</v>
      </c>
      <c r="D76" s="4">
        <v>73.47</v>
      </c>
      <c r="E76" s="4">
        <v>1606445</v>
      </c>
      <c r="F76" s="4">
        <v>2284243.79</v>
      </c>
      <c r="G76" s="4"/>
      <c r="H76" s="4"/>
      <c r="I76" s="5">
        <v>11.7378203</v>
      </c>
      <c r="J76" s="6"/>
      <c r="K76" s="7"/>
      <c r="L76" s="8">
        <v>0</v>
      </c>
      <c r="M76" s="8">
        <v>0</v>
      </c>
      <c r="N76" s="8">
        <v>1</v>
      </c>
      <c r="O76" s="8">
        <v>0</v>
      </c>
    </row>
    <row r="77" ht="13.65" customHeight="1">
      <c r="A77" t="s" s="3">
        <v>90</v>
      </c>
      <c r="B77" s="4">
        <v>4422982</v>
      </c>
      <c r="C77" s="4">
        <v>3.62</v>
      </c>
      <c r="D77" s="4">
        <v>73.48999999999999</v>
      </c>
      <c r="E77" s="4">
        <v>1628116.8</v>
      </c>
      <c r="F77" s="4">
        <v>2291175.4</v>
      </c>
      <c r="G77" s="4"/>
      <c r="H77" s="4"/>
      <c r="I77" s="5">
        <v>10.0031818</v>
      </c>
      <c r="J77" s="6"/>
      <c r="K77" s="7"/>
      <c r="L77" s="8">
        <v>0</v>
      </c>
      <c r="M77" s="8">
        <v>0</v>
      </c>
      <c r="N77" s="8">
        <v>0</v>
      </c>
      <c r="O77" s="8">
        <v>0</v>
      </c>
    </row>
    <row r="78" ht="13.65" customHeight="1">
      <c r="A78" t="s" s="3">
        <v>91</v>
      </c>
      <c r="B78" s="4">
        <v>4453500</v>
      </c>
      <c r="C78" s="4">
        <v>3.0907319</v>
      </c>
      <c r="D78" s="4">
        <v>73.84999999999999</v>
      </c>
      <c r="E78" s="4">
        <v>1648096.4</v>
      </c>
      <c r="F78" s="4">
        <v>2314119.86</v>
      </c>
      <c r="G78" s="4">
        <v>1066415.42</v>
      </c>
      <c r="H78" s="4"/>
      <c r="I78" s="5">
        <v>10.3385864</v>
      </c>
      <c r="J78" s="6"/>
      <c r="K78" s="7"/>
      <c r="L78" s="8">
        <v>1</v>
      </c>
      <c r="M78" s="8">
        <v>0</v>
      </c>
      <c r="N78" s="8">
        <v>0</v>
      </c>
      <c r="O78" s="8">
        <v>0</v>
      </c>
    </row>
    <row r="79" ht="13.65" customHeight="1">
      <c r="A79" t="s" s="3">
        <v>92</v>
      </c>
      <c r="B79" s="4">
        <v>4537054</v>
      </c>
      <c r="C79" s="4">
        <v>2.6340296</v>
      </c>
      <c r="D79" s="4">
        <v>74.16</v>
      </c>
      <c r="E79" s="4">
        <v>1659446.9</v>
      </c>
      <c r="F79" s="4">
        <v>2325244.22</v>
      </c>
      <c r="G79" s="4">
        <v>1077368.7</v>
      </c>
      <c r="H79" s="4"/>
      <c r="I79" s="5">
        <v>14.9943314</v>
      </c>
      <c r="J79" s="6"/>
      <c r="K79" s="7"/>
      <c r="L79" s="8">
        <v>0</v>
      </c>
      <c r="M79" s="8">
        <v>1</v>
      </c>
      <c r="N79" s="8">
        <v>0</v>
      </c>
      <c r="O79" s="8">
        <v>0</v>
      </c>
    </row>
    <row r="80" ht="13.65" customHeight="1">
      <c r="A80" t="s" s="3">
        <v>93</v>
      </c>
      <c r="B80" s="4">
        <v>4594744</v>
      </c>
      <c r="C80" s="4">
        <v>2.6993939</v>
      </c>
      <c r="D80" s="4">
        <v>74.43000000000001</v>
      </c>
      <c r="E80" s="4">
        <v>1682454.9</v>
      </c>
      <c r="F80" s="4">
        <v>2355751.02</v>
      </c>
      <c r="G80" s="4">
        <v>1090975.04</v>
      </c>
      <c r="H80" s="4"/>
      <c r="I80" s="5">
        <v>19.7000739</v>
      </c>
      <c r="J80" s="6"/>
      <c r="K80" s="7"/>
      <c r="L80" s="8">
        <v>0</v>
      </c>
      <c r="M80" s="8">
        <v>0</v>
      </c>
      <c r="N80" s="8">
        <v>1</v>
      </c>
      <c r="O80" s="8">
        <v>0</v>
      </c>
    </row>
    <row r="81" ht="13.65" customHeight="1">
      <c r="A81" t="s" s="3">
        <v>94</v>
      </c>
      <c r="B81" s="4">
        <v>4667221</v>
      </c>
      <c r="C81" s="4">
        <v>3.429798</v>
      </c>
      <c r="D81" s="4">
        <v>74.83</v>
      </c>
      <c r="E81" s="4">
        <v>1705573.9</v>
      </c>
      <c r="F81" s="4">
        <v>2380720.17</v>
      </c>
      <c r="G81" s="4">
        <v>1102236.25</v>
      </c>
      <c r="H81" s="4"/>
      <c r="I81" s="5">
        <v>23.0695464</v>
      </c>
      <c r="J81" s="6"/>
      <c r="K81" s="7"/>
      <c r="L81" s="8">
        <v>0</v>
      </c>
      <c r="M81" s="8">
        <v>0</v>
      </c>
      <c r="N81" s="8">
        <v>0</v>
      </c>
      <c r="O81" s="8">
        <v>0</v>
      </c>
    </row>
    <row r="82" ht="13.65" customHeight="1">
      <c r="A82" t="s" s="3">
        <v>95</v>
      </c>
      <c r="B82" s="4">
        <v>4766006</v>
      </c>
      <c r="C82" s="4">
        <v>3.5423161</v>
      </c>
      <c r="D82" s="4">
        <v>75.37</v>
      </c>
      <c r="E82" s="4">
        <v>1735704.9</v>
      </c>
      <c r="F82" s="4">
        <v>2411149.54</v>
      </c>
      <c r="G82" s="4">
        <v>1109582.06</v>
      </c>
      <c r="H82" s="4">
        <v>9.5</v>
      </c>
      <c r="I82" s="5">
        <v>26.8743317</v>
      </c>
      <c r="J82" s="6"/>
      <c r="K82" s="7"/>
      <c r="L82" s="8">
        <v>1</v>
      </c>
      <c r="M82" s="8">
        <v>0</v>
      </c>
      <c r="N82" s="8">
        <v>0</v>
      </c>
      <c r="O82" s="8">
        <v>0</v>
      </c>
    </row>
    <row r="83" ht="13.65" customHeight="1">
      <c r="A83" t="s" s="3">
        <v>96</v>
      </c>
      <c r="B83" s="4">
        <v>4788838</v>
      </c>
      <c r="C83" s="4">
        <v>4.2630169</v>
      </c>
      <c r="D83" s="4">
        <v>75.8</v>
      </c>
      <c r="E83" s="4">
        <v>1755983.7</v>
      </c>
      <c r="F83" s="4">
        <v>2432983.18</v>
      </c>
      <c r="G83" s="4">
        <v>1124931.9</v>
      </c>
      <c r="H83" s="4">
        <v>9.300000000000001</v>
      </c>
      <c r="I83" s="5">
        <v>28.8116043</v>
      </c>
      <c r="J83" s="6"/>
      <c r="K83" s="7"/>
      <c r="L83" s="8">
        <v>0</v>
      </c>
      <c r="M83" s="8">
        <v>1</v>
      </c>
      <c r="N83" s="8">
        <v>0</v>
      </c>
      <c r="O83" s="8">
        <v>0</v>
      </c>
    </row>
    <row r="84" ht="13.65" customHeight="1">
      <c r="A84" t="s" s="3">
        <v>97</v>
      </c>
      <c r="B84" s="4">
        <v>4830524</v>
      </c>
      <c r="C84" s="4">
        <v>4.7376004</v>
      </c>
      <c r="D84" s="4">
        <v>76.26000000000001</v>
      </c>
      <c r="E84" s="4">
        <v>1776663.3</v>
      </c>
      <c r="F84" s="4">
        <v>2449339.31</v>
      </c>
      <c r="G84" s="4">
        <v>1138787.04</v>
      </c>
      <c r="H84" s="4">
        <v>9.199999999999999</v>
      </c>
      <c r="I84" s="5">
        <v>33.6654614</v>
      </c>
      <c r="J84" s="6"/>
      <c r="K84" s="7"/>
      <c r="L84" s="8">
        <v>0</v>
      </c>
      <c r="M84" s="8">
        <v>0</v>
      </c>
      <c r="N84" s="8">
        <v>1</v>
      </c>
      <c r="O84" s="8">
        <v>0</v>
      </c>
    </row>
    <row r="85" ht="13.65" customHeight="1">
      <c r="A85" t="s" s="3">
        <v>98</v>
      </c>
      <c r="B85" s="4">
        <v>4859203</v>
      </c>
      <c r="C85" s="4">
        <v>5.0241284</v>
      </c>
      <c r="D85" s="4">
        <v>76.75</v>
      </c>
      <c r="E85" s="4">
        <v>1795376.6</v>
      </c>
      <c r="F85" s="4">
        <v>2460976.17</v>
      </c>
      <c r="G85" s="4">
        <v>1154843.02</v>
      </c>
      <c r="H85" s="4">
        <v>9</v>
      </c>
      <c r="I85" s="5">
        <v>34.5470891</v>
      </c>
      <c r="J85" s="6"/>
      <c r="K85" s="7"/>
      <c r="L85" s="8">
        <v>0</v>
      </c>
      <c r="M85" s="8">
        <v>0</v>
      </c>
      <c r="N85" s="8">
        <v>0</v>
      </c>
      <c r="O85" s="8">
        <v>0</v>
      </c>
    </row>
    <row r="86" ht="13.65" customHeight="1">
      <c r="A86" t="s" s="3">
        <v>99</v>
      </c>
      <c r="B86" s="4">
        <v>5079966</v>
      </c>
      <c r="C86" s="4">
        <v>4.7450546</v>
      </c>
      <c r="D86" s="4">
        <v>77.06999999999999</v>
      </c>
      <c r="E86" s="4">
        <v>1828692.9</v>
      </c>
      <c r="F86" s="4">
        <v>2488071.86</v>
      </c>
      <c r="G86" s="4">
        <v>1175725.96</v>
      </c>
      <c r="H86" s="4">
        <v>8.800000000000001</v>
      </c>
      <c r="I86" s="5">
        <v>28.4186218</v>
      </c>
      <c r="J86" s="6"/>
      <c r="K86" s="7"/>
      <c r="L86" s="8">
        <v>1</v>
      </c>
      <c r="M86" s="8">
        <v>0</v>
      </c>
      <c r="N86" s="8">
        <v>0</v>
      </c>
      <c r="O86" s="8">
        <v>0</v>
      </c>
    </row>
    <row r="87" ht="13.65" customHeight="1">
      <c r="A87" t="s" s="3">
        <v>100</v>
      </c>
      <c r="B87" s="4">
        <v>5192173</v>
      </c>
      <c r="C87" s="4">
        <v>4.5907511</v>
      </c>
      <c r="D87" s="4">
        <v>78.02</v>
      </c>
      <c r="E87" s="4">
        <v>1841704.9</v>
      </c>
      <c r="F87" s="4">
        <v>2489184.99</v>
      </c>
      <c r="G87" s="4">
        <v>1184613.78</v>
      </c>
      <c r="H87" s="4">
        <v>8.699999999999999</v>
      </c>
      <c r="I87" s="5">
        <v>31.6502334</v>
      </c>
      <c r="J87" s="6"/>
      <c r="K87" s="7"/>
      <c r="L87" s="8">
        <v>0</v>
      </c>
      <c r="M87" s="8">
        <v>1</v>
      </c>
      <c r="N87" s="8">
        <v>0</v>
      </c>
      <c r="O87" s="8">
        <v>0</v>
      </c>
    </row>
    <row r="88" ht="13.65" customHeight="1">
      <c r="A88" t="s" s="3">
        <v>101</v>
      </c>
      <c r="B88" s="4">
        <v>5296229</v>
      </c>
      <c r="C88" s="4">
        <v>4.267836</v>
      </c>
      <c r="D88" s="4">
        <v>77.98999999999999</v>
      </c>
      <c r="E88" s="4">
        <v>1856754.4</v>
      </c>
      <c r="F88" s="4">
        <v>2494471.65</v>
      </c>
      <c r="G88" s="4">
        <v>1201303.73</v>
      </c>
      <c r="H88" s="4">
        <v>8.699999999999999</v>
      </c>
      <c r="I88" s="5">
        <v>28.9161626</v>
      </c>
      <c r="J88" s="6"/>
      <c r="K88" s="7"/>
      <c r="L88" s="8">
        <v>0</v>
      </c>
      <c r="M88" s="8">
        <v>0</v>
      </c>
      <c r="N88" s="8">
        <v>1</v>
      </c>
      <c r="O88" s="8">
        <v>0</v>
      </c>
    </row>
    <row r="89" ht="13.65" customHeight="1">
      <c r="A89" t="s" s="3">
        <v>102</v>
      </c>
      <c r="B89" s="4">
        <v>5402883</v>
      </c>
      <c r="C89" s="4">
        <v>3.4434801</v>
      </c>
      <c r="D89" s="4">
        <v>78.36</v>
      </c>
      <c r="E89" s="4">
        <v>1870428.6</v>
      </c>
      <c r="F89" s="4">
        <v>2493089.71</v>
      </c>
      <c r="G89" s="4">
        <v>1212419.68</v>
      </c>
      <c r="H89" s="4">
        <v>8.800000000000001</v>
      </c>
      <c r="I89" s="5">
        <v>22.3522267</v>
      </c>
      <c r="J89" s="6"/>
      <c r="K89" s="7"/>
      <c r="L89" s="8">
        <v>0</v>
      </c>
      <c r="M89" s="8">
        <v>0</v>
      </c>
      <c r="N89" s="8">
        <v>0</v>
      </c>
      <c r="O89" s="8">
        <v>0</v>
      </c>
    </row>
    <row r="90" ht="13.65" customHeight="1">
      <c r="A90" t="s" s="3">
        <v>103</v>
      </c>
      <c r="B90" s="4">
        <v>5453968</v>
      </c>
      <c r="C90" s="4">
        <v>3.3622242</v>
      </c>
      <c r="D90" s="4">
        <v>79.02</v>
      </c>
      <c r="E90" s="4">
        <v>1886673.8</v>
      </c>
      <c r="F90" s="4">
        <v>2498701.77</v>
      </c>
      <c r="G90" s="4">
        <v>1213082.2</v>
      </c>
      <c r="H90" s="4">
        <v>8.800000000000001</v>
      </c>
      <c r="I90" s="5">
        <v>24.5779198</v>
      </c>
      <c r="J90" s="6"/>
      <c r="K90" s="7"/>
      <c r="L90" s="8">
        <v>1</v>
      </c>
      <c r="M90" s="8">
        <v>0</v>
      </c>
      <c r="N90" s="8">
        <v>0</v>
      </c>
      <c r="O90" s="8">
        <v>0</v>
      </c>
    </row>
    <row r="91" ht="13.65" customHeight="1">
      <c r="A91" t="s" s="3">
        <v>104</v>
      </c>
      <c r="B91" s="4">
        <v>5539079</v>
      </c>
      <c r="C91" s="4">
        <v>3.4460137</v>
      </c>
      <c r="D91" s="4">
        <v>79.48999999999999</v>
      </c>
      <c r="E91" s="4">
        <v>1903678.9</v>
      </c>
      <c r="F91" s="4">
        <v>2510322.77</v>
      </c>
      <c r="G91" s="4">
        <v>1228319.41</v>
      </c>
      <c r="H91" s="4">
        <v>8.9</v>
      </c>
      <c r="I91" s="5">
        <v>27.7619372</v>
      </c>
      <c r="J91" s="6" cm="1">
        <f t="array" ref="J91">(LN(G91/E91)-LN(G90/E90))*100</f>
        <v>0.350961550035445</v>
      </c>
      <c r="K91" s="7" cm="1">
        <f t="array" ref="K91">((LN(B91)-LN(B90))-(LN(F91)-LN(F90)))*100</f>
        <v>1.08447907923512</v>
      </c>
      <c r="L91" s="8">
        <v>0</v>
      </c>
      <c r="M91" s="8">
        <v>1</v>
      </c>
      <c r="N91" s="8">
        <v>0</v>
      </c>
      <c r="O91" s="8">
        <v>0</v>
      </c>
    </row>
    <row r="92" ht="13.65" customHeight="1">
      <c r="A92" t="s" s="3">
        <v>105</v>
      </c>
      <c r="B92" s="4">
        <v>5660669</v>
      </c>
      <c r="C92" s="4">
        <v>3.3573507</v>
      </c>
      <c r="D92" s="4">
        <v>79.66</v>
      </c>
      <c r="E92" s="4">
        <v>1924982.6</v>
      </c>
      <c r="F92" s="4">
        <v>2521867.14</v>
      </c>
      <c r="G92" s="4">
        <v>1233311.97</v>
      </c>
      <c r="H92" s="4">
        <v>9</v>
      </c>
      <c r="I92" s="5">
        <v>27.2269923</v>
      </c>
      <c r="J92" s="6" cm="1">
        <f t="array" ref="J92">(LN(G92/E92)-LN(G91/E91))*100</f>
        <v>-0.70723441048775</v>
      </c>
      <c r="K92" s="7" cm="1">
        <f t="array" ref="K92">((LN(B92)-LN(B91))-(LN(F92)-LN(F91)))*100</f>
        <v>1.71256244176607</v>
      </c>
      <c r="L92" s="8">
        <v>0</v>
      </c>
      <c r="M92" s="8">
        <v>0</v>
      </c>
      <c r="N92" s="8">
        <v>1</v>
      </c>
      <c r="O92" s="8">
        <v>0</v>
      </c>
    </row>
    <row r="93" ht="13.65" customHeight="1">
      <c r="A93" t="s" s="3">
        <v>106</v>
      </c>
      <c r="B93" s="4">
        <v>5767431</v>
      </c>
      <c r="C93" s="4">
        <v>3.1088179</v>
      </c>
      <c r="D93" s="4">
        <v>80.17</v>
      </c>
      <c r="E93" s="4">
        <v>1937643.5</v>
      </c>
      <c r="F93" s="4">
        <v>2526569.11</v>
      </c>
      <c r="G93" s="4">
        <v>1251796.41</v>
      </c>
      <c r="H93" s="4">
        <v>9.1</v>
      </c>
      <c r="I93" s="5">
        <v>26.4397411</v>
      </c>
      <c r="J93" s="6" cm="1">
        <f t="array" ref="J93">(LN(G93/E93)-LN(G92/E92))*100</f>
        <v>0.832082314266208</v>
      </c>
      <c r="K93" s="7" cm="1">
        <f t="array" ref="K93">((LN(B93)-LN(B92))-(LN(F93)-LN(F92)))*100</f>
        <v>1.68219206148841</v>
      </c>
      <c r="L93" s="8">
        <v>0</v>
      </c>
      <c r="M93" s="8">
        <v>0</v>
      </c>
      <c r="N93" s="8">
        <v>0</v>
      </c>
      <c r="O93" s="8">
        <v>0</v>
      </c>
    </row>
    <row r="94" ht="13.65" customHeight="1">
      <c r="A94" t="s" s="3">
        <v>107</v>
      </c>
      <c r="B94" s="4">
        <v>5880069</v>
      </c>
      <c r="C94" s="4">
        <v>2.6830735</v>
      </c>
      <c r="D94" s="4">
        <v>80.93000000000001</v>
      </c>
      <c r="E94" s="4">
        <v>1944301.4</v>
      </c>
      <c r="F94" s="4">
        <v>2519738.09</v>
      </c>
      <c r="G94" s="4">
        <v>1260793.82</v>
      </c>
      <c r="H94" s="4">
        <v>9.199999999999999</v>
      </c>
      <c r="I94" s="5">
        <v>28.3897605</v>
      </c>
      <c r="J94" s="6" cm="1">
        <f t="array" ref="J94">(LN(G94/E94)-LN(G93/E93))*100</f>
        <v>0.373169967161335</v>
      </c>
      <c r="K94" s="7" cm="1">
        <f t="array" ref="K94">((LN(B94)-LN(B93))-(LN(F94)-LN(F93)))*100</f>
        <v>2.20490849709538</v>
      </c>
      <c r="L94" s="8">
        <v>1</v>
      </c>
      <c r="M94" s="8">
        <v>0</v>
      </c>
      <c r="N94" s="8">
        <v>0</v>
      </c>
      <c r="O94" s="8">
        <v>0</v>
      </c>
    </row>
    <row r="95" ht="13.65" customHeight="1">
      <c r="A95" t="s" s="3">
        <v>108</v>
      </c>
      <c r="B95" s="4">
        <v>5990357</v>
      </c>
      <c r="C95" s="4">
        <v>2.3619103</v>
      </c>
      <c r="D95" s="4">
        <v>81.09999999999999</v>
      </c>
      <c r="E95" s="4">
        <v>1956452.6</v>
      </c>
      <c r="F95" s="4">
        <v>2521032.96</v>
      </c>
      <c r="G95" s="4">
        <v>1267265.75</v>
      </c>
      <c r="H95" s="4">
        <v>9.300000000000001</v>
      </c>
      <c r="I95" s="5">
        <v>22.6658698</v>
      </c>
      <c r="J95" s="6" cm="1">
        <f t="array" ref="J95">(LN(G95/E95)-LN(G94/E94))*100</f>
        <v>-0.111011194587363</v>
      </c>
      <c r="K95" s="7" cm="1">
        <f t="array" ref="K95">((LN(B95)-LN(B94))-(LN(F95)-LN(F94)))*100</f>
        <v>1.8068754433104</v>
      </c>
      <c r="L95" s="8">
        <v>0</v>
      </c>
      <c r="M95" s="8">
        <v>1</v>
      </c>
      <c r="N95" s="8">
        <v>0</v>
      </c>
      <c r="O95" s="8">
        <v>0</v>
      </c>
    </row>
    <row r="96" ht="13.65" customHeight="1">
      <c r="A96" t="s" s="3">
        <v>109</v>
      </c>
      <c r="B96" s="4">
        <v>6057142</v>
      </c>
      <c r="C96" s="4">
        <v>2.1392634</v>
      </c>
      <c r="D96" s="4">
        <v>81.39</v>
      </c>
      <c r="E96" s="4">
        <v>1981754.4</v>
      </c>
      <c r="F96" s="4">
        <v>2537447.45</v>
      </c>
      <c r="G96" s="4">
        <v>1287130.33</v>
      </c>
      <c r="H96" s="4">
        <v>9.300000000000001</v>
      </c>
      <c r="I96" s="5">
        <v>25.0580682</v>
      </c>
      <c r="J96" s="6" cm="1">
        <f t="array" ref="J96">(LN(G96/E96)-LN(G95/E95))*100</f>
        <v>0.270398566464303</v>
      </c>
      <c r="K96" s="7" cm="1">
        <f t="array" ref="K96">((LN(B96)-LN(B95))-(LN(F96)-LN(F95)))*100</f>
        <v>0.459714949291978</v>
      </c>
      <c r="L96" s="8">
        <v>0</v>
      </c>
      <c r="M96" s="8">
        <v>0</v>
      </c>
      <c r="N96" s="8">
        <v>1</v>
      </c>
      <c r="O96" s="8">
        <v>0</v>
      </c>
    </row>
    <row r="97" ht="13.65" customHeight="1">
      <c r="A97" t="s" s="3">
        <v>110</v>
      </c>
      <c r="B97" s="4">
        <v>6148767</v>
      </c>
      <c r="C97" s="4">
        <v>2.1496495</v>
      </c>
      <c r="D97" s="4">
        <v>81.79000000000001</v>
      </c>
      <c r="E97" s="4">
        <v>1999146.9</v>
      </c>
      <c r="F97" s="4">
        <v>2553683.44</v>
      </c>
      <c r="G97" s="4">
        <v>1288817.04</v>
      </c>
      <c r="H97" s="4">
        <v>9.300000000000001</v>
      </c>
      <c r="I97" s="5">
        <v>24.4288682</v>
      </c>
      <c r="J97" s="6" cm="1">
        <f t="array" ref="J97">(LN(G97/E97)-LN(G96/E96))*100</f>
        <v>-0.742844217251787</v>
      </c>
      <c r="K97" s="7" cm="1">
        <f t="array" ref="K97">((LN(B97)-LN(B96))-(LN(F97)-LN(F96)))*100</f>
        <v>0.863533385576609</v>
      </c>
      <c r="L97" s="8">
        <v>0</v>
      </c>
      <c r="M97" s="8">
        <v>0</v>
      </c>
      <c r="N97" s="8">
        <v>0</v>
      </c>
      <c r="O97" s="8">
        <v>0</v>
      </c>
    </row>
    <row r="98" ht="13.65" customHeight="1">
      <c r="A98" t="s" s="3">
        <v>111</v>
      </c>
      <c r="B98" s="4">
        <v>6232560</v>
      </c>
      <c r="C98" s="4">
        <v>2.0629508</v>
      </c>
      <c r="D98" s="4">
        <v>82.31999999999999</v>
      </c>
      <c r="E98" s="4">
        <v>2018966</v>
      </c>
      <c r="F98" s="4">
        <v>2566920.81</v>
      </c>
      <c r="G98" s="4">
        <v>1309307.65</v>
      </c>
      <c r="H98" s="4">
        <v>9.5</v>
      </c>
      <c r="I98" s="5">
        <v>25.0464675</v>
      </c>
      <c r="J98" s="6" cm="1">
        <f t="array" ref="J98">(LN(G98/E98)-LN(G97/E97))*100</f>
        <v>0.590875204908325</v>
      </c>
      <c r="K98" s="7" cm="1">
        <f t="array" ref="K98">((LN(B98)-LN(B97))-(LN(F98)-LN(F97)))*100</f>
        <v>0.836534041685155</v>
      </c>
      <c r="L98" s="8">
        <v>1</v>
      </c>
      <c r="M98" s="8">
        <v>0</v>
      </c>
      <c r="N98" s="8">
        <v>0</v>
      </c>
      <c r="O98" s="8">
        <v>0</v>
      </c>
    </row>
    <row r="99" ht="13.65" customHeight="1">
      <c r="A99" t="s" s="3">
        <v>112</v>
      </c>
      <c r="B99" s="4">
        <v>6315025</v>
      </c>
      <c r="C99" s="4">
        <v>2.0824296</v>
      </c>
      <c r="D99" s="4">
        <v>83.05</v>
      </c>
      <c r="E99" s="4">
        <v>2043940.9</v>
      </c>
      <c r="F99" s="4">
        <v>2582901.46</v>
      </c>
      <c r="G99" s="4">
        <v>1319686.45</v>
      </c>
      <c r="H99" s="4">
        <v>9.5</v>
      </c>
      <c r="I99" s="5">
        <v>29.2376411</v>
      </c>
      <c r="J99" s="6" cm="1">
        <f t="array" ref="J99">(LN(G99/E99)-LN(G98/E98))*100</f>
        <v>-0.439857440839708</v>
      </c>
      <c r="K99" s="7" cm="1">
        <f t="array" ref="K99">((LN(B99)-LN(B98))-(LN(F99)-LN(F98)))*100</f>
        <v>0.693823952353156</v>
      </c>
      <c r="L99" s="8">
        <v>0</v>
      </c>
      <c r="M99" s="8">
        <v>1</v>
      </c>
      <c r="N99" s="8">
        <v>0</v>
      </c>
      <c r="O99" s="8">
        <v>0</v>
      </c>
    </row>
    <row r="100" ht="13.65" customHeight="1">
      <c r="A100" t="s" s="3">
        <v>113</v>
      </c>
      <c r="B100" s="4">
        <v>6417367</v>
      </c>
      <c r="C100" s="4">
        <v>2.116303</v>
      </c>
      <c r="D100" s="4">
        <v>83.14</v>
      </c>
      <c r="E100" s="4">
        <v>2058161.4</v>
      </c>
      <c r="F100" s="4">
        <v>2588711.7</v>
      </c>
      <c r="G100" s="4">
        <v>1331174.69</v>
      </c>
      <c r="H100" s="4">
        <v>9.4</v>
      </c>
      <c r="I100" s="5">
        <v>33.2667894</v>
      </c>
      <c r="J100" s="6" cm="1">
        <f t="array" ref="J100">(LN(G100/E100)-LN(G99/E99))*100</f>
        <v>0.173430551689985</v>
      </c>
      <c r="K100" s="7" cm="1">
        <f t="array" ref="K100">((LN(B100)-LN(B99))-(LN(F100)-LN(F99)))*100</f>
        <v>1.38292194586462</v>
      </c>
      <c r="L100" s="8">
        <v>0</v>
      </c>
      <c r="M100" s="8">
        <v>0</v>
      </c>
      <c r="N100" s="8">
        <v>1</v>
      </c>
      <c r="O100" s="8">
        <v>0</v>
      </c>
    </row>
    <row r="101" ht="13.65" customHeight="1">
      <c r="A101" t="s" s="3">
        <v>114</v>
      </c>
      <c r="B101" s="4">
        <v>6540370</v>
      </c>
      <c r="C101" s="4">
        <v>2.1636085</v>
      </c>
      <c r="D101" s="4">
        <v>83.72</v>
      </c>
      <c r="E101" s="4">
        <v>2078736.5</v>
      </c>
      <c r="F101" s="4">
        <v>2600229.15</v>
      </c>
      <c r="G101" s="4">
        <v>1338011.81</v>
      </c>
      <c r="H101" s="4">
        <v>9.5</v>
      </c>
      <c r="I101" s="5">
        <v>34.4232076</v>
      </c>
      <c r="J101" s="6" cm="1">
        <f t="array" ref="J101">(LN(G101/E101)-LN(G100/E100))*100</f>
        <v>-0.482418693320419</v>
      </c>
      <c r="K101" s="7" cm="1">
        <f t="array" ref="K101">((LN(B101)-LN(B100))-(LN(F101)-LN(F100)))*100</f>
        <v>1.45465928990678</v>
      </c>
      <c r="L101" s="8">
        <v>0</v>
      </c>
      <c r="M101" s="8">
        <v>0</v>
      </c>
      <c r="N101" s="8">
        <v>0</v>
      </c>
      <c r="O101" s="8">
        <v>0</v>
      </c>
    </row>
    <row r="102" ht="13.65" customHeight="1">
      <c r="A102" t="s" s="3">
        <v>115</v>
      </c>
      <c r="B102" s="4">
        <v>6628904</v>
      </c>
      <c r="C102" s="4">
        <v>2.140323</v>
      </c>
      <c r="D102" s="4">
        <v>84.12</v>
      </c>
      <c r="E102" s="4">
        <v>2092163.4</v>
      </c>
      <c r="F102" s="4">
        <v>2607246.76</v>
      </c>
      <c r="G102" s="4">
        <v>1343838.42</v>
      </c>
      <c r="H102" s="4">
        <v>9.300000000000001</v>
      </c>
      <c r="I102" s="5">
        <v>36.5690453</v>
      </c>
      <c r="J102" s="6" cm="1">
        <f t="array" ref="J102">(LN(G102/E102)-LN(G101/E101))*100</f>
        <v>-0.209316962524375</v>
      </c>
      <c r="K102" s="7" cm="1">
        <f t="array" ref="K102">((LN(B102)-LN(B101))-(LN(F102)-LN(F101)))*100</f>
        <v>1.07505349691781</v>
      </c>
      <c r="L102" s="8">
        <v>1</v>
      </c>
      <c r="M102" s="8">
        <v>0</v>
      </c>
      <c r="N102" s="8">
        <v>0</v>
      </c>
      <c r="O102" s="8">
        <v>0</v>
      </c>
    </row>
    <row r="103" ht="13.65" customHeight="1">
      <c r="A103" t="s" s="3">
        <v>116</v>
      </c>
      <c r="B103" s="4">
        <v>6807158</v>
      </c>
      <c r="C103" s="4">
        <v>2.12464</v>
      </c>
      <c r="D103" s="4">
        <v>84.75</v>
      </c>
      <c r="E103" s="4">
        <v>2114584.8</v>
      </c>
      <c r="F103" s="4">
        <v>2623326.49</v>
      </c>
      <c r="G103" s="4">
        <v>1360287.89</v>
      </c>
      <c r="H103" s="4">
        <v>9.300000000000001</v>
      </c>
      <c r="I103" s="5">
        <v>42.2047034</v>
      </c>
      <c r="J103" s="6" cm="1">
        <f t="array" ref="J103">(LN(G103/E103)-LN(G102/E102))*100</f>
        <v>0.150651856762657</v>
      </c>
      <c r="K103" s="7" cm="1">
        <f t="array" ref="K103">((LN(B103)-LN(B102))-(LN(F103)-LN(F102)))*100</f>
        <v>2.03868424767322</v>
      </c>
      <c r="L103" s="8">
        <v>0</v>
      </c>
      <c r="M103" s="8">
        <v>1</v>
      </c>
      <c r="N103" s="8">
        <v>0</v>
      </c>
      <c r="O103" s="8">
        <v>0</v>
      </c>
    </row>
    <row r="104" ht="13.65" customHeight="1">
      <c r="A104" t="s" s="3">
        <v>117</v>
      </c>
      <c r="B104" s="4">
        <v>6972348</v>
      </c>
      <c r="C104" s="4">
        <v>2.1303478</v>
      </c>
      <c r="D104" s="4">
        <v>85.3</v>
      </c>
      <c r="E104" s="4">
        <v>2140879.4</v>
      </c>
      <c r="F104" s="4">
        <v>2642860.82</v>
      </c>
      <c r="G104" s="4">
        <v>1368653.11</v>
      </c>
      <c r="H104" s="4">
        <v>9.199999999999999</v>
      </c>
      <c r="I104" s="5">
        <v>50.8733183</v>
      </c>
      <c r="J104" s="6" cm="1">
        <f t="array" ref="J104">(LN(G104/E104)-LN(G103/E103))*100</f>
        <v>-0.62274343400413</v>
      </c>
      <c r="K104" s="7" cm="1">
        <f t="array" ref="K104">((LN(B104)-LN(B103))-(LN(F104)-LN(F103)))*100</f>
        <v>1.65585254951761</v>
      </c>
      <c r="L104" s="8">
        <v>0</v>
      </c>
      <c r="M104" s="8">
        <v>0</v>
      </c>
      <c r="N104" s="8">
        <v>1</v>
      </c>
      <c r="O104" s="8">
        <v>0</v>
      </c>
    </row>
    <row r="105" ht="13.65" customHeight="1">
      <c r="A105" t="s" s="3">
        <v>118</v>
      </c>
      <c r="B105" s="4">
        <v>7087688</v>
      </c>
      <c r="C105" s="4">
        <v>2.3434466</v>
      </c>
      <c r="D105" s="4">
        <v>85.62</v>
      </c>
      <c r="E105" s="4">
        <v>2169426.6</v>
      </c>
      <c r="F105" s="4">
        <v>2661303.64</v>
      </c>
      <c r="G105" s="4">
        <v>1384152.26</v>
      </c>
      <c r="H105" s="4">
        <v>9.1</v>
      </c>
      <c r="I105" s="5">
        <v>48.5268695</v>
      </c>
      <c r="J105" s="6" cm="1">
        <f t="array" ref="J105">(LN(G105/E105)-LN(G104/E104))*100</f>
        <v>-0.198547306821012</v>
      </c>
      <c r="K105" s="7" cm="1">
        <f t="array" ref="K105">((LN(B105)-LN(B104))-(LN(F105)-LN(F104)))*100</f>
        <v>0.945303533683806</v>
      </c>
      <c r="L105" s="8">
        <v>0</v>
      </c>
      <c r="M105" s="8">
        <v>0</v>
      </c>
      <c r="N105" s="8">
        <v>0</v>
      </c>
      <c r="O105" s="8">
        <v>0</v>
      </c>
    </row>
    <row r="106" ht="13.65" customHeight="1">
      <c r="A106" t="s" s="3">
        <v>119</v>
      </c>
      <c r="B106" s="4">
        <v>7221902</v>
      </c>
      <c r="C106" s="4">
        <v>2.6115468</v>
      </c>
      <c r="D106" s="4">
        <v>85.98</v>
      </c>
      <c r="E106" s="4">
        <v>2196471.8</v>
      </c>
      <c r="F106" s="4">
        <v>2686387.28</v>
      </c>
      <c r="G106" s="4">
        <v>1401253.29</v>
      </c>
      <c r="H106" s="4">
        <v>8.9</v>
      </c>
      <c r="I106" s="5">
        <v>52.2639277</v>
      </c>
      <c r="J106" s="6" cm="1">
        <f t="array" ref="J106">(LN(G106/E106)-LN(G105/E105))*100</f>
        <v>-0.0110275030883011</v>
      </c>
      <c r="K106" s="7" cm="1">
        <f t="array" ref="K106">((LN(B106)-LN(B105))-(LN(F106)-LN(F105)))*100</f>
        <v>0.93779794351736</v>
      </c>
      <c r="L106" s="8">
        <v>1</v>
      </c>
      <c r="M106" s="8">
        <v>0</v>
      </c>
      <c r="N106" s="8">
        <v>0</v>
      </c>
      <c r="O106" s="8">
        <v>0</v>
      </c>
    </row>
    <row r="107" ht="13.65" customHeight="1">
      <c r="A107" t="s" s="3">
        <v>120</v>
      </c>
      <c r="B107" s="4">
        <v>7384631</v>
      </c>
      <c r="C107" s="4">
        <v>2.8894865</v>
      </c>
      <c r="D107" s="4">
        <v>86.84999999999999</v>
      </c>
      <c r="E107" s="4">
        <v>2234650.6</v>
      </c>
      <c r="F107" s="4">
        <v>2715934.98</v>
      </c>
      <c r="G107" s="4">
        <v>1418158.45</v>
      </c>
      <c r="H107" s="4">
        <v>8.6</v>
      </c>
      <c r="I107" s="5">
        <v>56.1072546</v>
      </c>
      <c r="J107" s="6" cm="1">
        <f t="array" ref="J107">(LN(G107/E107)-LN(G106/E106))*100</f>
        <v>-0.524041855182084</v>
      </c>
      <c r="K107" s="7" cm="1">
        <f t="array" ref="K107">((LN(B107)-LN(B106))-(LN(F107)-LN(F106)))*100</f>
        <v>1.13435980483292</v>
      </c>
      <c r="L107" s="8">
        <v>0</v>
      </c>
      <c r="M107" s="8">
        <v>1</v>
      </c>
      <c r="N107" s="8">
        <v>0</v>
      </c>
      <c r="O107" s="8">
        <v>0</v>
      </c>
    </row>
    <row r="108" ht="13.65" customHeight="1">
      <c r="A108" t="s" s="3">
        <v>121</v>
      </c>
      <c r="B108" s="4">
        <v>7573385</v>
      </c>
      <c r="C108" s="4">
        <v>3.2213499</v>
      </c>
      <c r="D108" s="4">
        <v>86.83</v>
      </c>
      <c r="E108" s="4">
        <v>2259475.4</v>
      </c>
      <c r="F108" s="4">
        <v>2730735.15</v>
      </c>
      <c r="G108" s="4">
        <v>1437365.39</v>
      </c>
      <c r="H108" s="4">
        <v>8.4</v>
      </c>
      <c r="I108" s="5">
        <v>55.6628638</v>
      </c>
      <c r="J108" s="6" cm="1">
        <f t="array" ref="J108">(LN(G108/E108)-LN(G107/E107))*100</f>
        <v>0.240490611120242</v>
      </c>
      <c r="K108" s="7" cm="1">
        <f t="array" ref="K108">((LN(B108)-LN(B107))-(LN(F108)-LN(F107)))*100</f>
        <v>1.98045898898176</v>
      </c>
      <c r="L108" s="8">
        <v>0</v>
      </c>
      <c r="M108" s="8">
        <v>0</v>
      </c>
      <c r="N108" s="8">
        <v>1</v>
      </c>
      <c r="O108" s="8">
        <v>0</v>
      </c>
    </row>
    <row r="109" ht="13.65" customHeight="1">
      <c r="A109" t="s" s="3">
        <v>122</v>
      </c>
      <c r="B109" s="4">
        <v>7753569</v>
      </c>
      <c r="C109" s="4">
        <v>3.5944641</v>
      </c>
      <c r="D109" s="4">
        <v>87.27</v>
      </c>
      <c r="E109" s="4">
        <v>2297622.5</v>
      </c>
      <c r="F109" s="4">
        <v>2762669.15</v>
      </c>
      <c r="G109" s="4">
        <v>1454192</v>
      </c>
      <c r="H109" s="4">
        <v>8.199999999999999</v>
      </c>
      <c r="I109" s="5">
        <v>47.2731206</v>
      </c>
      <c r="J109" s="6" cm="1">
        <f t="array" ref="J109">(LN(G109/E109)-LN(G108/E108))*100</f>
        <v>-0.510365785909811</v>
      </c>
      <c r="K109" s="7" cm="1">
        <f t="array" ref="K109">((LN(B109)-LN(B108))-(LN(F109)-LN(F108)))*100</f>
        <v>1.18866890662979</v>
      </c>
      <c r="L109" s="8">
        <v>0</v>
      </c>
      <c r="M109" s="8">
        <v>0</v>
      </c>
      <c r="N109" s="8">
        <v>0</v>
      </c>
      <c r="O109" s="8">
        <v>0</v>
      </c>
    </row>
    <row r="110" ht="13.65" customHeight="1">
      <c r="A110" t="s" s="3">
        <v>123</v>
      </c>
      <c r="B110" s="4">
        <v>8008864</v>
      </c>
      <c r="C110" s="4">
        <v>3.8203242</v>
      </c>
      <c r="D110" s="4">
        <v>87.66</v>
      </c>
      <c r="E110" s="4">
        <v>2334231.1</v>
      </c>
      <c r="F110" s="4">
        <v>2782017.86</v>
      </c>
      <c r="G110" s="4">
        <v>1464993.87</v>
      </c>
      <c r="H110" s="4">
        <v>7.9</v>
      </c>
      <c r="I110" s="5">
        <v>44.7414152</v>
      </c>
      <c r="J110" s="6" cm="1">
        <f t="array" ref="J110">(LN(G110/E110)-LN(G109/E109))*100</f>
        <v>-0.840701263108706</v>
      </c>
      <c r="K110" s="7" cm="1">
        <f t="array" ref="K110">((LN(B110)-LN(B109))-(LN(F110)-LN(F109)))*100</f>
        <v>2.54164572276885</v>
      </c>
      <c r="L110" s="8">
        <v>1</v>
      </c>
      <c r="M110" s="8">
        <v>0</v>
      </c>
      <c r="N110" s="8">
        <v>0</v>
      </c>
      <c r="O110" s="8">
        <v>0</v>
      </c>
    </row>
    <row r="111" ht="13.65" customHeight="1">
      <c r="A111" t="s" s="3">
        <v>124</v>
      </c>
      <c r="B111" s="4">
        <v>8206302</v>
      </c>
      <c r="C111" s="4">
        <v>4.0647962</v>
      </c>
      <c r="D111" s="4">
        <v>88.52</v>
      </c>
      <c r="E111" s="4">
        <v>2360027.2</v>
      </c>
      <c r="F111" s="4">
        <v>2800707.11</v>
      </c>
      <c r="G111" s="4">
        <v>1478889.31</v>
      </c>
      <c r="H111" s="4">
        <v>7.7</v>
      </c>
      <c r="I111" s="5">
        <v>50.9823565</v>
      </c>
      <c r="J111" s="6" cm="1">
        <f t="array" ref="J111">(LN(G111/E111)-LN(G110/E110))*100</f>
        <v>-0.155031920568366</v>
      </c>
      <c r="K111" s="7" cm="1">
        <f t="array" ref="K111">((LN(B111)-LN(B110))-(LN(F111)-LN(F110)))*100</f>
        <v>1.76580561199682</v>
      </c>
      <c r="L111" s="8">
        <v>0</v>
      </c>
      <c r="M111" s="8">
        <v>1</v>
      </c>
      <c r="N111" s="8">
        <v>0</v>
      </c>
      <c r="O111" s="8">
        <v>0</v>
      </c>
    </row>
    <row r="112" ht="13.65" customHeight="1">
      <c r="A112" t="s" s="3">
        <v>125</v>
      </c>
      <c r="B112" s="4">
        <v>8418602</v>
      </c>
      <c r="C112" s="4">
        <v>4.5004968</v>
      </c>
      <c r="D112" s="4">
        <v>88.70999999999999</v>
      </c>
      <c r="E112" s="4">
        <v>2381516</v>
      </c>
      <c r="F112" s="4">
        <v>2811522.89</v>
      </c>
      <c r="G112" s="4">
        <v>1489175.35</v>
      </c>
      <c r="H112" s="4">
        <v>7.6</v>
      </c>
      <c r="I112" s="5">
        <v>54.1689918</v>
      </c>
      <c r="J112" s="6" cm="1">
        <f t="array" ref="J112">(LN(G112/E112)-LN(G111/E111))*100</f>
        <v>-0.213294474718928</v>
      </c>
      <c r="K112" s="7" cm="1">
        <f t="array" ref="K112">((LN(B112)-LN(B111))-(LN(F112)-LN(F111)))*100</f>
        <v>2.16870198382502</v>
      </c>
      <c r="L112" s="8">
        <v>0</v>
      </c>
      <c r="M112" s="8">
        <v>0</v>
      </c>
      <c r="N112" s="8">
        <v>1</v>
      </c>
      <c r="O112" s="8">
        <v>0</v>
      </c>
    </row>
    <row r="113" ht="13.65" customHeight="1">
      <c r="A113" t="s" s="3">
        <v>126</v>
      </c>
      <c r="B113" s="4">
        <v>8647959</v>
      </c>
      <c r="C113" s="4">
        <v>4.7247684</v>
      </c>
      <c r="D113" s="4">
        <v>89.98</v>
      </c>
      <c r="E113" s="4">
        <v>2410338.1</v>
      </c>
      <c r="F113" s="4">
        <v>2825814.65</v>
      </c>
      <c r="G113" s="4">
        <v>1512963.44</v>
      </c>
      <c r="H113" s="4">
        <v>7.4</v>
      </c>
      <c r="I113" s="5">
        <v>61.0228224</v>
      </c>
      <c r="J113" s="6" cm="1">
        <f t="array" ref="J113">(LN(G113/E113)-LN(G112/E112))*100</f>
        <v>0.381799180525116</v>
      </c>
      <c r="K113" s="7" cm="1">
        <f t="array" ref="K113">((LN(B113)-LN(B112))-(LN(F113)-LN(F112)))*100</f>
        <v>2.18091536997864</v>
      </c>
      <c r="L113" s="8">
        <v>0</v>
      </c>
      <c r="M113" s="8">
        <v>0</v>
      </c>
      <c r="N113" s="8">
        <v>0</v>
      </c>
      <c r="O113" s="8">
        <v>0</v>
      </c>
    </row>
    <row r="114" ht="13.65" customHeight="1">
      <c r="A114" t="s" s="3">
        <v>127</v>
      </c>
      <c r="B114" s="4">
        <v>8867136</v>
      </c>
      <c r="C114" s="4">
        <v>4.480003</v>
      </c>
      <c r="D114" s="4">
        <v>90.87</v>
      </c>
      <c r="E114" s="4">
        <v>2436704.7</v>
      </c>
      <c r="F114" s="4">
        <v>2843954.65</v>
      </c>
      <c r="G114" s="4">
        <v>1528592.77</v>
      </c>
      <c r="H114" s="4">
        <v>7.3</v>
      </c>
      <c r="I114" s="5">
        <v>64.1329214</v>
      </c>
      <c r="J114" s="6" cm="1">
        <f t="array" ref="J114">(LN(G114/E114)-LN(G113/E113))*100</f>
        <v>-0.0602282211866589</v>
      </c>
      <c r="K114" s="7" cm="1">
        <f t="array" ref="K114">((LN(B114)-LN(B113))-(LN(F114)-LN(F113)))*100</f>
        <v>1.86296474501635</v>
      </c>
      <c r="L114" s="8">
        <v>1</v>
      </c>
      <c r="M114" s="8">
        <v>0</v>
      </c>
      <c r="N114" s="8">
        <v>0</v>
      </c>
      <c r="O114" s="8">
        <v>0</v>
      </c>
    </row>
    <row r="115" ht="13.65" customHeight="1">
      <c r="A115" t="s" s="3">
        <v>128</v>
      </c>
      <c r="B115" s="4">
        <v>9044137</v>
      </c>
      <c r="C115" s="4">
        <v>4.8604683</v>
      </c>
      <c r="D115" s="4">
        <v>92.09</v>
      </c>
      <c r="E115" s="4">
        <v>2442284.4</v>
      </c>
      <c r="F115" s="4">
        <v>2830060.41</v>
      </c>
      <c r="G115" s="4">
        <v>1540184.1</v>
      </c>
      <c r="H115" s="4">
        <v>7.5</v>
      </c>
      <c r="I115" s="5">
        <v>78.4583365</v>
      </c>
      <c r="J115" s="6" cm="1">
        <f t="array" ref="J115">(LN(G115/E115)-LN(G114/E114))*100</f>
        <v>0.526716364084762</v>
      </c>
      <c r="K115" s="7" cm="1">
        <f t="array" ref="K115">((LN(B115)-LN(B114))-(LN(F115)-LN(F114)))*100</f>
        <v>2.46623526618901</v>
      </c>
      <c r="L115" s="8">
        <v>0</v>
      </c>
      <c r="M115" s="8">
        <v>1</v>
      </c>
      <c r="N115" s="8">
        <v>0</v>
      </c>
      <c r="O115" s="8">
        <v>0</v>
      </c>
    </row>
    <row r="116" ht="13.65" customHeight="1">
      <c r="A116" t="s" s="3">
        <v>129</v>
      </c>
      <c r="B116" s="4">
        <v>9224888</v>
      </c>
      <c r="C116" s="4">
        <v>4.9817908</v>
      </c>
      <c r="D116" s="4">
        <v>92</v>
      </c>
      <c r="E116" s="4">
        <v>2435503.9</v>
      </c>
      <c r="F116" s="4">
        <v>2814628.88</v>
      </c>
      <c r="G116" s="4">
        <v>1541975.17</v>
      </c>
      <c r="H116" s="4">
        <v>7.6</v>
      </c>
      <c r="I116" s="5">
        <v>77.6144882</v>
      </c>
      <c r="J116" s="6" cm="1">
        <f t="array" ref="J116">(LN(G116/E116)-LN(G115/E115))*100</f>
        <v>0.394237305880041</v>
      </c>
      <c r="K116" s="7" cm="1">
        <f t="array" ref="K116">((LN(B116)-LN(B115))-(LN(F116)-LN(F115)))*100</f>
        <v>2.52559878722796</v>
      </c>
      <c r="L116" s="8">
        <v>0</v>
      </c>
      <c r="M116" s="8">
        <v>0</v>
      </c>
      <c r="N116" s="8">
        <v>1</v>
      </c>
      <c r="O116" s="8">
        <v>0</v>
      </c>
    </row>
    <row r="117" ht="13.65" customHeight="1">
      <c r="A117" t="s" s="3">
        <v>130</v>
      </c>
      <c r="B117" s="4">
        <v>9402372</v>
      </c>
      <c r="C117" s="4">
        <v>4.214669</v>
      </c>
      <c r="D117" s="4">
        <v>91.47</v>
      </c>
      <c r="E117" s="4">
        <v>2401511</v>
      </c>
      <c r="F117" s="4">
        <v>2766161.49</v>
      </c>
      <c r="G117" s="4">
        <v>1535140.76</v>
      </c>
      <c r="H117" s="4">
        <v>8</v>
      </c>
      <c r="I117" s="5">
        <v>43.5140392</v>
      </c>
      <c r="J117" s="6" cm="1">
        <f t="array" ref="J117">(LN(G117/E117)-LN(G116/E116))*100</f>
        <v>0.961345760780175</v>
      </c>
      <c r="K117" s="7" cm="1">
        <f t="array" ref="K117">((LN(B117)-LN(B116))-(LN(F117)-LN(F116)))*100</f>
        <v>3.64267497620396</v>
      </c>
      <c r="L117" s="8">
        <v>0</v>
      </c>
      <c r="M117" s="8">
        <v>0</v>
      </c>
      <c r="N117" s="8">
        <v>0</v>
      </c>
      <c r="O117" s="8">
        <v>0</v>
      </c>
    </row>
    <row r="118" ht="13.65" customHeight="1">
      <c r="A118" t="s" s="3">
        <v>131</v>
      </c>
      <c r="B118" s="4">
        <v>9403303</v>
      </c>
      <c r="C118" s="4">
        <v>2.0116761</v>
      </c>
      <c r="D118" s="4">
        <v>91.44</v>
      </c>
      <c r="E118" s="4">
        <v>2335047.6</v>
      </c>
      <c r="F118" s="4">
        <v>2681378.3</v>
      </c>
      <c r="G118" s="4">
        <v>1520911.47</v>
      </c>
      <c r="H118" s="4">
        <v>9</v>
      </c>
      <c r="I118" s="5">
        <v>35.0900586</v>
      </c>
      <c r="J118" s="6" cm="1">
        <f t="array" ref="J118">(LN(G118/E118)-LN(G117/E117))*100</f>
        <v>1.87535755250294</v>
      </c>
      <c r="K118" s="7" cm="1">
        <f t="array" ref="K118">((LN(B118)-LN(B117))-(LN(F118)-LN(F117)))*100</f>
        <v>3.12286747861457</v>
      </c>
      <c r="L118" s="8">
        <v>1</v>
      </c>
      <c r="M118" s="8">
        <v>0</v>
      </c>
      <c r="N118" s="8">
        <v>0</v>
      </c>
      <c r="O118" s="8">
        <v>0</v>
      </c>
    </row>
    <row r="119" ht="13.65" customHeight="1">
      <c r="A119" t="s" s="3">
        <v>132</v>
      </c>
      <c r="B119" s="4">
        <v>9428787</v>
      </c>
      <c r="C119" s="4">
        <v>1.3106364</v>
      </c>
      <c r="D119" s="4">
        <v>91.98999999999999</v>
      </c>
      <c r="E119" s="4">
        <v>2335875.7</v>
      </c>
      <c r="F119" s="4">
        <v>2681456.74</v>
      </c>
      <c r="G119" s="4">
        <v>1525222.66</v>
      </c>
      <c r="H119" s="4">
        <v>9.6</v>
      </c>
      <c r="I119" s="5">
        <v>43.7583635</v>
      </c>
      <c r="J119" s="6" cm="1">
        <f t="array" ref="J119">(LN(G119/E119)-LN(G118/E118))*100</f>
        <v>0.247602292211085</v>
      </c>
      <c r="K119" s="7" cm="1">
        <f t="array" ref="K119">((LN(B119)-LN(B118))-(LN(F119)-LN(F118)))*100</f>
        <v>0.267719262799559</v>
      </c>
      <c r="L119" s="8">
        <v>0</v>
      </c>
      <c r="M119" s="8">
        <v>1</v>
      </c>
      <c r="N119" s="8">
        <v>0</v>
      </c>
      <c r="O119" s="8">
        <v>0</v>
      </c>
    </row>
    <row r="120" ht="13.65" customHeight="1">
      <c r="A120" t="s" s="3">
        <v>133</v>
      </c>
      <c r="B120" s="4">
        <v>9414236</v>
      </c>
      <c r="C120" s="4">
        <v>0.8691745</v>
      </c>
      <c r="D120" s="4">
        <v>91.70999999999999</v>
      </c>
      <c r="E120" s="4">
        <v>2346515</v>
      </c>
      <c r="F120" s="4">
        <v>2691049.24</v>
      </c>
      <c r="G120" s="4">
        <v>1529268.43</v>
      </c>
      <c r="H120" s="4">
        <v>9.9</v>
      </c>
      <c r="I120" s="5">
        <v>48.1063664</v>
      </c>
      <c r="J120" s="6" cm="1">
        <f t="array" ref="J120">(LN(G120/E120)-LN(G119/E119))*100</f>
        <v>-0.189533102916889</v>
      </c>
      <c r="K120" s="7" cm="1">
        <f t="array" ref="K120">((LN(B120)-LN(B119))-(LN(F120)-LN(F119)))*100</f>
        <v>-0.511540769391416</v>
      </c>
      <c r="L120" s="8">
        <v>0</v>
      </c>
      <c r="M120" s="8">
        <v>0</v>
      </c>
      <c r="N120" s="8">
        <v>1</v>
      </c>
      <c r="O120" s="8">
        <v>0</v>
      </c>
    </row>
    <row r="121" ht="13.65" customHeight="1">
      <c r="A121" t="s" s="3">
        <v>134</v>
      </c>
      <c r="B121" s="4">
        <v>9349315</v>
      </c>
      <c r="C121" s="4">
        <v>0.721912</v>
      </c>
      <c r="D121" s="4">
        <v>92.31</v>
      </c>
      <c r="E121" s="4">
        <v>2363229.3</v>
      </c>
      <c r="F121" s="4">
        <v>2702985.48</v>
      </c>
      <c r="G121" s="4">
        <v>1537515.96</v>
      </c>
      <c r="H121" s="4">
        <v>10.1</v>
      </c>
      <c r="I121" s="5">
        <v>51.1762702</v>
      </c>
      <c r="J121" s="6" cm="1">
        <f t="array" ref="J121">(LN(G121/E121)-LN(G120/E120))*100</f>
        <v>-0.171915202429979</v>
      </c>
      <c r="K121" s="7" cm="1">
        <f t="array" ref="K121">((LN(B121)-LN(B120))-(LN(F121)-LN(F120)))*100</f>
        <v>-1.1345658989061</v>
      </c>
      <c r="L121" s="8">
        <v>0</v>
      </c>
      <c r="M121" s="8">
        <v>0</v>
      </c>
      <c r="N121" s="8">
        <v>0</v>
      </c>
      <c r="O121" s="8">
        <v>0</v>
      </c>
    </row>
    <row r="122" ht="13.65" customHeight="1">
      <c r="A122" t="s" s="3">
        <v>135</v>
      </c>
      <c r="B122" s="4">
        <v>9332304</v>
      </c>
      <c r="C122" s="4">
        <v>0.6621355</v>
      </c>
      <c r="D122" s="4">
        <v>92.86</v>
      </c>
      <c r="E122" s="4">
        <v>2375121.2</v>
      </c>
      <c r="F122" s="4">
        <v>2713548.16</v>
      </c>
      <c r="G122" s="4">
        <v>1532558.91</v>
      </c>
      <c r="H122" s="4">
        <v>10.3</v>
      </c>
      <c r="I122" s="5">
        <v>55.9660242</v>
      </c>
      <c r="J122" s="6" cm="1">
        <f t="array" ref="J122">(LN(G122/E122)-LN(G121/E121))*100</f>
        <v>-0.8248709188857341</v>
      </c>
      <c r="K122" s="7" cm="1">
        <f t="array" ref="K122">((LN(B122)-LN(B121))-(LN(F122)-LN(F121)))*100</f>
        <v>-0.572131606242721</v>
      </c>
      <c r="L122" s="8">
        <v>1</v>
      </c>
      <c r="M122" s="8">
        <v>0</v>
      </c>
      <c r="N122" s="8">
        <v>0</v>
      </c>
      <c r="O122" s="8">
        <v>0</v>
      </c>
    </row>
    <row r="123" ht="13.65" customHeight="1">
      <c r="A123" t="s" s="3">
        <v>136</v>
      </c>
      <c r="B123" s="4">
        <v>9240895</v>
      </c>
      <c r="C123" s="4">
        <v>0.6862716</v>
      </c>
      <c r="D123" s="4">
        <v>93.34999999999999</v>
      </c>
      <c r="E123" s="4">
        <v>2401310</v>
      </c>
      <c r="F123" s="4">
        <v>2738809.2</v>
      </c>
      <c r="G123" s="4">
        <v>1538726.87</v>
      </c>
      <c r="H123" s="4">
        <v>10.4</v>
      </c>
      <c r="I123" s="5">
        <v>62.635224</v>
      </c>
      <c r="J123" s="6" cm="1">
        <f t="array" ref="J123">(LN(G123/E123)-LN(G122/E122))*100</f>
        <v>-0.694941583511371</v>
      </c>
      <c r="K123" s="7" cm="1">
        <f t="array" ref="K123">((LN(B123)-LN(B122))-(LN(F123)-LN(F122)))*100</f>
        <v>-1.91093520113412</v>
      </c>
      <c r="L123" s="8">
        <v>0</v>
      </c>
      <c r="M123" s="8">
        <v>1</v>
      </c>
      <c r="N123" s="8">
        <v>0</v>
      </c>
      <c r="O123" s="8">
        <v>0</v>
      </c>
    </row>
    <row r="124" ht="13.65" customHeight="1">
      <c r="A124" t="s" s="3">
        <v>137</v>
      </c>
      <c r="B124" s="4">
        <v>9272702</v>
      </c>
      <c r="C124" s="4">
        <v>0.8749394</v>
      </c>
      <c r="D124" s="4">
        <v>93.42</v>
      </c>
      <c r="E124" s="4">
        <v>2420751.1</v>
      </c>
      <c r="F124" s="4">
        <v>2750961.19</v>
      </c>
      <c r="G124" s="4">
        <v>1551469.06</v>
      </c>
      <c r="H124" s="4">
        <v>10.3</v>
      </c>
      <c r="I124" s="5">
        <v>59.4626011</v>
      </c>
      <c r="J124" s="6" cm="1">
        <f t="array" ref="J124">(LN(G124/E124)-LN(G123/E123))*100</f>
        <v>0.0183453854220639</v>
      </c>
      <c r="K124" s="7" cm="1">
        <f t="array" ref="K124">((LN(B124)-LN(B123))-(LN(F124)-LN(F123)))*100</f>
        <v>-0.0991074293864358</v>
      </c>
      <c r="L124" s="8">
        <v>0</v>
      </c>
      <c r="M124" s="8">
        <v>0</v>
      </c>
      <c r="N124" s="8">
        <v>1</v>
      </c>
      <c r="O124" s="8">
        <v>0</v>
      </c>
    </row>
    <row r="125" ht="13.65" customHeight="1">
      <c r="A125" t="s" s="3">
        <v>138</v>
      </c>
      <c r="B125" s="4">
        <v>9298808</v>
      </c>
      <c r="C125" s="4">
        <v>1.0204693</v>
      </c>
      <c r="D125" s="4">
        <v>94.36</v>
      </c>
      <c r="E125" s="4">
        <v>2438992.1</v>
      </c>
      <c r="F125" s="4">
        <v>2767285.62</v>
      </c>
      <c r="G125" s="4">
        <v>1558371.94</v>
      </c>
      <c r="H125" s="4">
        <v>10.3</v>
      </c>
      <c r="I125" s="5">
        <v>64.45577179999999</v>
      </c>
      <c r="J125" s="6" cm="1">
        <f t="array" ref="J125">(LN(G125/E125)-LN(G124/E124))*100</f>
        <v>-0.306763090074014</v>
      </c>
      <c r="K125" s="7" cm="1">
        <f t="array" ref="K125">((LN(B125)-LN(B124))-(LN(F125)-LN(F124)))*100</f>
        <v>-0.31051400304154</v>
      </c>
      <c r="L125" s="8">
        <v>0</v>
      </c>
      <c r="M125" s="8">
        <v>0</v>
      </c>
      <c r="N125" s="8">
        <v>0</v>
      </c>
      <c r="O125" s="8">
        <v>0</v>
      </c>
    </row>
    <row r="126" ht="13.65" customHeight="1">
      <c r="A126" t="s" s="3">
        <v>139</v>
      </c>
      <c r="B126" s="4">
        <v>9345311</v>
      </c>
      <c r="C126" s="4">
        <v>1.0931699</v>
      </c>
      <c r="D126" s="4">
        <v>95.34999999999999</v>
      </c>
      <c r="E126" s="4">
        <v>2472062.9</v>
      </c>
      <c r="F126" s="4">
        <v>2793590.28</v>
      </c>
      <c r="G126" s="4">
        <v>1564720.01</v>
      </c>
      <c r="H126" s="4">
        <v>10.2</v>
      </c>
      <c r="I126" s="5">
        <v>77.1823991</v>
      </c>
      <c r="J126" s="6" cm="1">
        <f t="array" ref="J126">(LN(G126/E126)-LN(G125/E125))*100</f>
        <v>-0.940285151856562</v>
      </c>
      <c r="K126" s="7" cm="1">
        <f t="array" ref="K126">((LN(B126)-LN(B125))-(LN(F126)-LN(F125)))*100</f>
        <v>-0.447218780898773</v>
      </c>
      <c r="L126" s="8">
        <v>1</v>
      </c>
      <c r="M126" s="8">
        <v>0</v>
      </c>
      <c r="N126" s="8">
        <v>0</v>
      </c>
      <c r="O126" s="8">
        <v>0</v>
      </c>
    </row>
    <row r="127" ht="13.65" customHeight="1">
      <c r="A127" t="s" s="3">
        <v>140</v>
      </c>
      <c r="B127" s="4">
        <v>9386874</v>
      </c>
      <c r="C127" s="4">
        <v>1.4116308</v>
      </c>
      <c r="D127" s="4">
        <v>95.89</v>
      </c>
      <c r="E127" s="4">
        <v>2476382.3</v>
      </c>
      <c r="F127" s="4">
        <v>2793376.55</v>
      </c>
      <c r="G127" s="4">
        <v>1578817.74</v>
      </c>
      <c r="H127" s="4">
        <v>10.1</v>
      </c>
      <c r="I127" s="5">
        <v>81.2801415</v>
      </c>
      <c r="J127" s="6" cm="1">
        <f t="array" ref="J127">(LN(G127/E127)-LN(G126/E126))*100</f>
        <v>0.722363957772987</v>
      </c>
      <c r="K127" s="7" cm="1">
        <f t="array" ref="K127">((LN(B127)-LN(B126))-(LN(F127)-LN(F126)))*100</f>
        <v>0.451412047249278</v>
      </c>
      <c r="L127" s="8">
        <v>0</v>
      </c>
      <c r="M127" s="8">
        <v>1</v>
      </c>
      <c r="N127" s="8">
        <v>0</v>
      </c>
      <c r="O127" s="8">
        <v>0</v>
      </c>
    </row>
    <row r="128" ht="13.65" customHeight="1">
      <c r="A128" t="s" s="3">
        <v>141</v>
      </c>
      <c r="B128" s="4">
        <v>9494473</v>
      </c>
      <c r="C128" s="4">
        <v>1.5620535</v>
      </c>
      <c r="D128" s="4">
        <v>96.22</v>
      </c>
      <c r="E128" s="4">
        <v>2484517</v>
      </c>
      <c r="F128" s="4">
        <v>2793863.47</v>
      </c>
      <c r="G128" s="4">
        <v>1574869.17</v>
      </c>
      <c r="H128" s="4">
        <v>10.4</v>
      </c>
      <c r="I128" s="5">
        <v>79.32504590000001</v>
      </c>
      <c r="J128" s="6" cm="1">
        <f t="array" ref="J128">(LN(G128/E128)-LN(G127/E127))*100</f>
        <v>-0.57836282593785</v>
      </c>
      <c r="K128" s="7" cm="1">
        <f t="array" ref="K128">((LN(B128)-LN(B127))-(LN(F128)-LN(F127)))*100</f>
        <v>1.12232122333502</v>
      </c>
      <c r="L128" s="8">
        <v>0</v>
      </c>
      <c r="M128" s="8">
        <v>0</v>
      </c>
      <c r="N128" s="8">
        <v>1</v>
      </c>
      <c r="O128" s="8">
        <v>0</v>
      </c>
    </row>
    <row r="129" ht="13.65" customHeight="1">
      <c r="A129" t="s" s="3">
        <v>142</v>
      </c>
      <c r="B129" s="4">
        <v>9498551</v>
      </c>
      <c r="C129" s="4">
        <v>1.4955447</v>
      </c>
      <c r="D129" s="4">
        <v>96.95999999999999</v>
      </c>
      <c r="E129" s="4">
        <v>2484470.4</v>
      </c>
      <c r="F129" s="4">
        <v>2785386.29</v>
      </c>
      <c r="G129" s="4">
        <v>1584454.52</v>
      </c>
      <c r="H129" s="4">
        <v>10.8</v>
      </c>
      <c r="I129" s="5">
        <v>80.6915929</v>
      </c>
      <c r="J129" s="6" cm="1">
        <f t="array" ref="J129">(LN(G129/E129)-LN(G128/E128))*100</f>
        <v>0.6086750851845349</v>
      </c>
      <c r="K129" s="7" cm="1">
        <f t="array" ref="K129">((LN(B129)-LN(B128))-(LN(F129)-LN(F128)))*100</f>
        <v>0.346824751367691</v>
      </c>
      <c r="L129" s="8">
        <v>0</v>
      </c>
      <c r="M129" s="8">
        <v>0</v>
      </c>
      <c r="N129" s="8">
        <v>0</v>
      </c>
      <c r="O129" s="8">
        <v>0</v>
      </c>
    </row>
    <row r="130" ht="13.65" customHeight="1">
      <c r="A130" t="s" s="3">
        <v>143</v>
      </c>
      <c r="B130" s="4">
        <v>9610720</v>
      </c>
      <c r="C130" s="4">
        <v>1.0429892</v>
      </c>
      <c r="D130" s="4">
        <v>97.91</v>
      </c>
      <c r="E130" s="4">
        <v>2487984.1</v>
      </c>
      <c r="F130" s="4">
        <v>2778611.52</v>
      </c>
      <c r="G130" s="4">
        <v>1580052.89</v>
      </c>
      <c r="H130" s="4">
        <v>11.1</v>
      </c>
      <c r="I130" s="5">
        <v>89.9960122</v>
      </c>
      <c r="J130" s="6" cm="1">
        <f t="array" ref="J130">(LN(G130/E130)-LN(G129/E129))*100</f>
        <v>-0.419514157181311</v>
      </c>
      <c r="K130" s="7" cm="1">
        <f t="array" ref="K130">((LN(B130)-LN(B129))-(LN(F130)-LN(F129)))*100</f>
        <v>1.41750993087442</v>
      </c>
      <c r="L130" s="8">
        <v>1</v>
      </c>
      <c r="M130" s="8">
        <v>0</v>
      </c>
      <c r="N130" s="8">
        <v>0</v>
      </c>
      <c r="O130" s="8">
        <v>0</v>
      </c>
    </row>
    <row r="131" ht="13.65" customHeight="1">
      <c r="A131" t="s" s="3">
        <v>144</v>
      </c>
      <c r="B131" s="4">
        <v>9658453</v>
      </c>
      <c r="C131" s="4">
        <v>0.6960273</v>
      </c>
      <c r="D131" s="4">
        <v>98.15000000000001</v>
      </c>
      <c r="E131" s="4">
        <v>2485450.8</v>
      </c>
      <c r="F131" s="4">
        <v>2768589.54</v>
      </c>
      <c r="G131" s="4">
        <v>1575919.67</v>
      </c>
      <c r="H131" s="4">
        <v>11.4</v>
      </c>
      <c r="I131" s="5">
        <v>84.6244049</v>
      </c>
      <c r="J131" s="6" cm="1">
        <f t="array" ref="J131">(LN(G131/E131)-LN(G130/E130))*100</f>
        <v>-0.160056920320789</v>
      </c>
      <c r="K131" s="7" cm="1">
        <f t="array" ref="K131">((LN(B131)-LN(B130))-(LN(F131)-LN(F130)))*100</f>
        <v>0.856769885558428</v>
      </c>
      <c r="L131" s="8">
        <v>0</v>
      </c>
      <c r="M131" s="8">
        <v>1</v>
      </c>
      <c r="N131" s="8">
        <v>0</v>
      </c>
      <c r="O131" s="8">
        <v>0</v>
      </c>
    </row>
    <row r="132" ht="13.65" customHeight="1">
      <c r="A132" t="s" s="3">
        <v>145</v>
      </c>
      <c r="B132" s="4">
        <v>9713753</v>
      </c>
      <c r="C132" s="4">
        <v>0.3585789</v>
      </c>
      <c r="D132" s="4">
        <v>98.73</v>
      </c>
      <c r="E132" s="4">
        <v>2492592.2</v>
      </c>
      <c r="F132" s="4">
        <v>2764959.88</v>
      </c>
      <c r="G132" s="4">
        <v>1573612.32</v>
      </c>
      <c r="H132" s="4">
        <v>11.6</v>
      </c>
      <c r="I132" s="5">
        <v>87.2125205</v>
      </c>
      <c r="J132" s="6" cm="1">
        <f t="array" ref="J132">(LN(G132/E132)-LN(G131/E131))*100</f>
        <v>-0.433436367674261</v>
      </c>
      <c r="K132" s="7" cm="1">
        <f t="array" ref="K132">((LN(B132)-LN(B131))-(LN(F132)-LN(F131)))*100</f>
        <v>0.7021100167802889</v>
      </c>
      <c r="L132" s="8">
        <v>0</v>
      </c>
      <c r="M132" s="8">
        <v>0</v>
      </c>
      <c r="N132" s="8">
        <v>1</v>
      </c>
      <c r="O132" s="8">
        <v>0</v>
      </c>
    </row>
    <row r="133" ht="13.65" customHeight="1">
      <c r="A133" t="s" s="3">
        <v>146</v>
      </c>
      <c r="B133" s="4">
        <v>9785187</v>
      </c>
      <c r="C133" s="4">
        <v>0.1951289</v>
      </c>
      <c r="D133" s="4">
        <v>99.11</v>
      </c>
      <c r="E133" s="4">
        <v>2486766.8</v>
      </c>
      <c r="F133" s="4">
        <v>2753030.34</v>
      </c>
      <c r="G133" s="4">
        <v>1569000.33</v>
      </c>
      <c r="H133" s="4">
        <v>12</v>
      </c>
      <c r="I133" s="5">
        <v>84.43244300000001</v>
      </c>
      <c r="J133" s="6" cm="1">
        <f t="array" ref="J133">(LN(G133/E133)-LN(G132/E132))*100</f>
        <v>-0.0595312858348407</v>
      </c>
      <c r="K133" s="7" cm="1">
        <f t="array" ref="K133">((LN(B133)-LN(B132))-(LN(F133)-LN(F132)))*100</f>
        <v>1.1650873286456</v>
      </c>
      <c r="L133" s="8">
        <v>0</v>
      </c>
      <c r="M133" s="8">
        <v>0</v>
      </c>
      <c r="N133" s="8">
        <v>0</v>
      </c>
      <c r="O133" s="8">
        <v>0</v>
      </c>
    </row>
    <row r="134" ht="13.65" customHeight="1">
      <c r="A134" t="s" s="3">
        <v>147</v>
      </c>
      <c r="B134" s="4">
        <v>9803199</v>
      </c>
      <c r="C134" s="4">
        <v>0.2114364</v>
      </c>
      <c r="D134" s="4">
        <v>99.61</v>
      </c>
      <c r="E134" s="4">
        <v>2492271.6</v>
      </c>
      <c r="F134" s="4">
        <v>2743947.35</v>
      </c>
      <c r="G134" s="4">
        <v>1574798.13</v>
      </c>
      <c r="H134" s="4">
        <v>12.3</v>
      </c>
      <c r="I134" s="5">
        <v>84.9665186</v>
      </c>
      <c r="J134" s="6" cm="1">
        <f t="array" ref="J134">(LN(G134/E134)-LN(G133/E133))*100</f>
        <v>0.147721764137299</v>
      </c>
      <c r="K134" s="7" cm="1">
        <f t="array" ref="K134">((LN(B134)-LN(B133))-(LN(F134)-LN(F133)))*100</f>
        <v>0.514377387495735</v>
      </c>
      <c r="L134" s="8">
        <v>1</v>
      </c>
      <c r="M134" s="8">
        <v>0</v>
      </c>
      <c r="N134" s="8">
        <v>0</v>
      </c>
      <c r="O134" s="8">
        <v>0</v>
      </c>
    </row>
    <row r="135" ht="13.65" customHeight="1">
      <c r="A135" t="s" s="3">
        <v>148</v>
      </c>
      <c r="B135" s="4">
        <v>9818212</v>
      </c>
      <c r="C135" s="4">
        <v>0.206794</v>
      </c>
      <c r="D135" s="4">
        <v>99.73</v>
      </c>
      <c r="E135" s="4">
        <v>2514589.2</v>
      </c>
      <c r="F135" s="4">
        <v>2761924.19</v>
      </c>
      <c r="G135" s="4">
        <v>1579129.46</v>
      </c>
      <c r="H135" s="4">
        <v>12.3</v>
      </c>
      <c r="I135" s="5">
        <v>78.9767125</v>
      </c>
      <c r="J135" s="6" cm="1">
        <f t="array" ref="J135">(LN(G135/E135)-LN(G134/E134))*100</f>
        <v>-0.616823862099414</v>
      </c>
      <c r="K135" s="7" cm="1">
        <f t="array" ref="K135">((LN(B135)-LN(B134))-(LN(F135)-LN(F134)))*100</f>
        <v>-0.499981733336696</v>
      </c>
      <c r="L135" s="8">
        <v>0</v>
      </c>
      <c r="M135" s="8">
        <v>1</v>
      </c>
      <c r="N135" s="8">
        <v>0</v>
      </c>
      <c r="O135" s="8">
        <v>0</v>
      </c>
    </row>
    <row r="136" ht="13.65" customHeight="1">
      <c r="A136" t="s" s="3">
        <v>149</v>
      </c>
      <c r="B136" s="4">
        <v>9868977</v>
      </c>
      <c r="C136" s="4">
        <v>0.2235122</v>
      </c>
      <c r="D136" s="4">
        <v>99.8</v>
      </c>
      <c r="E136" s="4">
        <v>2525236.8</v>
      </c>
      <c r="F136" s="4">
        <v>2770109.39</v>
      </c>
      <c r="G136" s="4">
        <v>1584702.95</v>
      </c>
      <c r="H136" s="4">
        <v>12.2</v>
      </c>
      <c r="I136" s="5">
        <v>82.3837479</v>
      </c>
      <c r="J136" s="6" cm="1">
        <f t="array" ref="J136">(LN(G136/E136)-LN(G135/E135))*100</f>
        <v>-0.0702134255255782</v>
      </c>
      <c r="K136" s="7" cm="1">
        <f t="array" ref="K136">((LN(B136)-LN(B135))-(LN(F136)-LN(F135)))*100</f>
        <v>0.219796897638602</v>
      </c>
      <c r="L136" s="8">
        <v>0</v>
      </c>
      <c r="M136" s="8">
        <v>0</v>
      </c>
      <c r="N136" s="8">
        <v>1</v>
      </c>
      <c r="O136" s="8">
        <v>0</v>
      </c>
    </row>
    <row r="137" ht="13.65" customHeight="1">
      <c r="A137" t="s" s="3">
        <v>150</v>
      </c>
      <c r="B137" s="4">
        <v>9832650</v>
      </c>
      <c r="C137" s="4">
        <v>0.2409024</v>
      </c>
      <c r="D137" s="4">
        <v>99.95</v>
      </c>
      <c r="E137" s="4">
        <v>2532547.8</v>
      </c>
      <c r="F137" s="4">
        <v>2775883.91</v>
      </c>
      <c r="G137" s="4">
        <v>1592655.81</v>
      </c>
      <c r="H137" s="4">
        <v>12.1</v>
      </c>
      <c r="I137" s="5">
        <v>80.2389094</v>
      </c>
      <c r="J137" s="6" cm="1">
        <f t="array" ref="J137">(LN(G137/E137)-LN(G136/E136))*100</f>
        <v>0.211497595248628</v>
      </c>
      <c r="K137" s="7" cm="1">
        <f t="array" ref="K137">((LN(B137)-LN(B136))-(LN(F137)-LN(F136)))*100</f>
        <v>-0.577013213123756</v>
      </c>
      <c r="L137" s="8">
        <v>0</v>
      </c>
      <c r="M137" s="8">
        <v>0</v>
      </c>
      <c r="N137" s="8">
        <v>0</v>
      </c>
      <c r="O137" s="8">
        <v>0</v>
      </c>
    </row>
    <row r="138" ht="13.65" customHeight="1">
      <c r="A138" t="s" s="3">
        <v>151</v>
      </c>
      <c r="B138" s="4">
        <v>9891849</v>
      </c>
      <c r="C138" s="4">
        <v>0.2951596</v>
      </c>
      <c r="D138" s="4">
        <v>100.07</v>
      </c>
      <c r="E138" s="4">
        <v>2555602.9</v>
      </c>
      <c r="F138" s="4">
        <v>2788908.43</v>
      </c>
      <c r="G138" s="4">
        <v>1595837.33</v>
      </c>
      <c r="H138" s="4">
        <v>12</v>
      </c>
      <c r="I138" s="5">
        <v>78.6027716</v>
      </c>
      <c r="J138" s="6" cm="1">
        <f t="array" ref="J138">(LN(G138/E138)-LN(G137/E137))*100</f>
        <v>-0.70667061943141</v>
      </c>
      <c r="K138" s="7" cm="1">
        <f t="array" ref="K138">((LN(B138)-LN(B137))-(LN(F138)-LN(F137)))*100</f>
        <v>0.132155100054021</v>
      </c>
      <c r="L138" s="8">
        <v>1</v>
      </c>
      <c r="M138" s="8">
        <v>0</v>
      </c>
      <c r="N138" s="8">
        <v>0</v>
      </c>
      <c r="O138" s="8">
        <v>0</v>
      </c>
    </row>
    <row r="139" ht="13.65" customHeight="1">
      <c r="A139" t="s" s="3">
        <v>152</v>
      </c>
      <c r="B139" s="4">
        <v>9973532</v>
      </c>
      <c r="C139" s="4">
        <v>0.2985833</v>
      </c>
      <c r="D139" s="4">
        <v>100.22</v>
      </c>
      <c r="E139" s="4">
        <v>2566871.5</v>
      </c>
      <c r="F139" s="4">
        <v>2795458.52</v>
      </c>
      <c r="G139" s="4">
        <v>1597884.73</v>
      </c>
      <c r="H139" s="4">
        <v>11.7</v>
      </c>
      <c r="I139" s="5">
        <v>79.9232458</v>
      </c>
      <c r="J139" s="6" cm="1">
        <f t="array" ref="J139">(LN(G139/E139)-LN(G138/E138))*100</f>
        <v>-0.311753714303836</v>
      </c>
      <c r="K139" s="7" cm="1">
        <f t="array" ref="K139">((LN(B139)-LN(B138))-(LN(F139)-LN(F138)))*100</f>
        <v>0.587783165181932</v>
      </c>
      <c r="L139" s="8">
        <v>0</v>
      </c>
      <c r="M139" s="8">
        <v>1</v>
      </c>
      <c r="N139" s="8">
        <v>0</v>
      </c>
      <c r="O139" s="8">
        <v>0</v>
      </c>
    </row>
    <row r="140" ht="13.65" customHeight="1">
      <c r="A140" t="s" s="3">
        <v>153</v>
      </c>
      <c r="B140" s="4">
        <v>10098645</v>
      </c>
      <c r="C140" s="4">
        <v>0.1645686</v>
      </c>
      <c r="D140" s="4">
        <v>100.12</v>
      </c>
      <c r="E140" s="4">
        <v>2583926.3</v>
      </c>
      <c r="F140" s="4">
        <v>2809053.11</v>
      </c>
      <c r="G140" s="4">
        <v>1614424.53</v>
      </c>
      <c r="H140" s="4">
        <v>11.6</v>
      </c>
      <c r="I140" s="5">
        <v>78.0376456</v>
      </c>
      <c r="J140" s="6" cm="1">
        <f t="array" ref="J140">(LN(G140/E140)-LN(G139/E139))*100</f>
        <v>0.367563253665698</v>
      </c>
      <c r="K140" s="7" cm="1">
        <f t="array" ref="K140">((LN(B140)-LN(B139))-(LN(F140)-LN(F139)))*100</f>
        <v>0.761516061948164</v>
      </c>
      <c r="L140" s="8">
        <v>0</v>
      </c>
      <c r="M140" s="8">
        <v>0</v>
      </c>
      <c r="N140" s="8">
        <v>1</v>
      </c>
      <c r="O140" s="8">
        <v>0</v>
      </c>
    </row>
    <row r="141" ht="13.65" customHeight="1">
      <c r="A141" t="s" s="3">
        <v>154</v>
      </c>
      <c r="B141" s="4">
        <v>10326597</v>
      </c>
      <c r="C141" s="4">
        <v>0.08147119999999999</v>
      </c>
      <c r="D141" s="4">
        <v>99.78</v>
      </c>
      <c r="E141" s="4">
        <v>2601372.8</v>
      </c>
      <c r="F141" s="4">
        <v>2819602.05</v>
      </c>
      <c r="G141" s="4">
        <v>1617305.17</v>
      </c>
      <c r="H141" s="4">
        <v>11.6</v>
      </c>
      <c r="I141" s="5">
        <v>61.4933882</v>
      </c>
      <c r="J141" s="6" cm="1">
        <f t="array" ref="J141">(LN(G141/E141)-LN(G140/E140))*100</f>
        <v>-0.494651801966078</v>
      </c>
      <c r="K141" s="7" cm="1">
        <f t="array" ref="K141">((LN(B141)-LN(B140))-(LN(F141)-LN(F140)))*100</f>
        <v>1.85732406355381</v>
      </c>
      <c r="L141" s="8">
        <v>0</v>
      </c>
      <c r="M141" s="8">
        <v>0</v>
      </c>
      <c r="N141" s="8">
        <v>0</v>
      </c>
      <c r="O141" s="8">
        <v>0</v>
      </c>
    </row>
    <row r="142" ht="13.65" customHeight="1">
      <c r="A142" t="s" s="3">
        <v>155</v>
      </c>
      <c r="B142" s="4">
        <v>10475465</v>
      </c>
      <c r="C142" s="4">
        <v>0.0460162</v>
      </c>
      <c r="D142" s="4">
        <v>100</v>
      </c>
      <c r="E142" s="4">
        <v>2633685.9</v>
      </c>
      <c r="F142" s="4">
        <v>2840876.16</v>
      </c>
      <c r="G142" s="4">
        <v>1629312.5</v>
      </c>
      <c r="H142" s="4">
        <v>11.3</v>
      </c>
      <c r="I142" s="5">
        <v>48.9860113</v>
      </c>
      <c r="J142" s="6" cm="1">
        <f t="array" ref="J142">(LN(G142/E142)-LN(G141/E141))*100</f>
        <v>-0.494818435498678</v>
      </c>
      <c r="K142" s="7" cm="1">
        <f t="array" ref="K142">((LN(B142)-LN(B141))-(LN(F142)-LN(F141)))*100</f>
        <v>0.67963025550668</v>
      </c>
      <c r="L142" s="8">
        <v>1</v>
      </c>
      <c r="M142" s="8">
        <v>0</v>
      </c>
      <c r="N142" s="8">
        <v>0</v>
      </c>
      <c r="O142" s="8">
        <v>0</v>
      </c>
    </row>
    <row r="143" ht="13.65" customHeight="1">
      <c r="A143" t="s" s="3">
        <v>156</v>
      </c>
      <c r="B143" s="4">
        <v>10582758</v>
      </c>
      <c r="C143" s="4">
        <v>-0.0065258</v>
      </c>
      <c r="D143" s="4">
        <v>100.72</v>
      </c>
      <c r="E143" s="4">
        <v>2656120.9</v>
      </c>
      <c r="F143" s="4">
        <v>2852866.13</v>
      </c>
      <c r="G143" s="4">
        <v>1639417.47</v>
      </c>
      <c r="H143" s="4">
        <v>11.1</v>
      </c>
      <c r="I143" s="5">
        <v>57.2686946</v>
      </c>
      <c r="J143" s="6" cm="1">
        <f t="array" ref="J143">(LN(G143/E143)-LN(G142/E142))*100</f>
        <v>-0.229957142366777</v>
      </c>
      <c r="K143" s="7" cm="1">
        <f t="array" ref="K143">((LN(B143)-LN(B142))-(LN(F143)-LN(F142)))*100</f>
        <v>0.597857980121042</v>
      </c>
      <c r="L143" s="8">
        <v>0</v>
      </c>
      <c r="M143" s="8">
        <v>1</v>
      </c>
      <c r="N143" s="8">
        <v>0</v>
      </c>
      <c r="O143" s="8">
        <v>0</v>
      </c>
    </row>
    <row r="144" ht="13.65" customHeight="1">
      <c r="A144" t="s" s="3">
        <v>157</v>
      </c>
      <c r="B144" s="4">
        <v>10694197</v>
      </c>
      <c r="C144" s="4">
        <v>-0.0278171</v>
      </c>
      <c r="D144" s="4">
        <v>100.32</v>
      </c>
      <c r="E144" s="4">
        <v>2677135.9</v>
      </c>
      <c r="F144" s="4">
        <v>2865142.75</v>
      </c>
      <c r="G144" s="4">
        <v>1652342.07</v>
      </c>
      <c r="H144" s="4">
        <v>10.7</v>
      </c>
      <c r="I144" s="5">
        <v>46.1056964</v>
      </c>
      <c r="J144" s="6" cm="1">
        <f t="array" ref="J144">(LN(G144/E144)-LN(G143/E143))*100</f>
        <v>-0.00280385648424031</v>
      </c>
      <c r="K144" s="7" cm="1">
        <f t="array" ref="K144">((LN(B144)-LN(B143))-(LN(F144)-LN(F143)))*100</f>
        <v>0.618115910086914</v>
      </c>
      <c r="L144" s="8">
        <v>0</v>
      </c>
      <c r="M144" s="8">
        <v>0</v>
      </c>
      <c r="N144" s="8">
        <v>1</v>
      </c>
      <c r="O144" s="8">
        <v>0</v>
      </c>
    </row>
    <row r="145" ht="13.65" customHeight="1">
      <c r="A145" t="s" s="3">
        <v>158</v>
      </c>
      <c r="B145" s="4">
        <v>10842557</v>
      </c>
      <c r="C145" s="4">
        <v>-0.08917600000000001</v>
      </c>
      <c r="D145" s="4">
        <v>100.03</v>
      </c>
      <c r="E145" s="4">
        <v>2693697.6</v>
      </c>
      <c r="F145" s="4">
        <v>2879214.85</v>
      </c>
      <c r="G145" s="4">
        <v>1659919.25</v>
      </c>
      <c r="H145" s="4">
        <v>10.6</v>
      </c>
      <c r="I145" s="5">
        <v>40.6978174</v>
      </c>
      <c r="J145" s="6" cm="1">
        <f t="array" ref="J145">(LN(G145/E145)-LN(G144/E144))*100</f>
        <v>-0.159205443391297</v>
      </c>
      <c r="K145" s="7" cm="1">
        <f t="array" ref="K145">((LN(B145)-LN(B144))-(LN(F145)-LN(F144)))*100</f>
        <v>0.887813485537414</v>
      </c>
      <c r="L145" s="8">
        <v>0</v>
      </c>
      <c r="M145" s="8">
        <v>0</v>
      </c>
      <c r="N145" s="8">
        <v>0</v>
      </c>
      <c r="O145" s="8">
        <v>0</v>
      </c>
    </row>
    <row r="146" ht="13.65" customHeight="1">
      <c r="A146" t="s" s="3">
        <v>159</v>
      </c>
      <c r="B146" s="4">
        <v>10986982</v>
      </c>
      <c r="C146" s="4">
        <v>-0.1860817</v>
      </c>
      <c r="D146" s="4">
        <v>99.95999999999999</v>
      </c>
      <c r="E146" s="4">
        <v>2713449</v>
      </c>
      <c r="F146" s="4">
        <v>2893012.43</v>
      </c>
      <c r="G146" s="4">
        <v>1672117.81</v>
      </c>
      <c r="H146" s="4">
        <v>10.4</v>
      </c>
      <c r="I146" s="5">
        <v>32.4658508</v>
      </c>
      <c r="J146" s="6" cm="1">
        <f t="array" ref="J146">(LN(G146/E146)-LN(G145/E145))*100</f>
        <v>0.00163189137931119</v>
      </c>
      <c r="K146" s="7" cm="1">
        <f t="array" ref="K146">((LN(B146)-LN(B145))-(LN(F146)-LN(F145)))*100</f>
        <v>0.845157650323181</v>
      </c>
      <c r="L146" s="8">
        <v>1</v>
      </c>
      <c r="M146" s="8">
        <v>0</v>
      </c>
      <c r="N146" s="8">
        <v>0</v>
      </c>
      <c r="O146" s="8">
        <v>0</v>
      </c>
    </row>
    <row r="147" ht="13.65" customHeight="1">
      <c r="A147" t="s" s="3">
        <v>160</v>
      </c>
      <c r="B147" s="4">
        <v>11119739</v>
      </c>
      <c r="C147" s="4">
        <v>-0.2580938</v>
      </c>
      <c r="D147" s="4">
        <v>100.77</v>
      </c>
      <c r="E147" s="4">
        <v>2723051.9</v>
      </c>
      <c r="F147" s="4">
        <v>2898566.78</v>
      </c>
      <c r="G147" s="4">
        <v>1681071.74</v>
      </c>
      <c r="H147" s="4">
        <v>10.2</v>
      </c>
      <c r="I147" s="5">
        <v>42.0028248</v>
      </c>
      <c r="J147" s="6" cm="1">
        <f t="array" ref="J147">(LN(G147/E147)-LN(G146/E146))*100</f>
        <v>0.180780384717683</v>
      </c>
      <c r="K147" s="7" cm="1">
        <f t="array" ref="K147">((LN(B147)-LN(B146))-(LN(F147)-LN(F146)))*100</f>
        <v>1.00926214336461</v>
      </c>
      <c r="L147" s="8">
        <v>0</v>
      </c>
      <c r="M147" s="8">
        <v>1</v>
      </c>
      <c r="N147" s="8">
        <v>0</v>
      </c>
      <c r="O147" s="8">
        <v>0</v>
      </c>
    </row>
    <row r="148" ht="13.65" customHeight="1">
      <c r="A148" t="s" s="3">
        <v>161</v>
      </c>
      <c r="B148" s="4">
        <v>11240372</v>
      </c>
      <c r="C148" s="4">
        <v>-0.2981259</v>
      </c>
      <c r="D148" s="4">
        <v>100.72</v>
      </c>
      <c r="E148" s="4">
        <v>2743134.5</v>
      </c>
      <c r="F148" s="4">
        <v>2912524.75</v>
      </c>
      <c r="G148" s="4">
        <v>1688836.47</v>
      </c>
      <c r="H148" s="4">
        <v>9.9</v>
      </c>
      <c r="I148" s="5">
        <v>42.5383289</v>
      </c>
      <c r="J148" s="6" cm="1">
        <f t="array" ref="J148">(LN(G148/E148)-LN(G147/E147))*100</f>
        <v>-0.273968924688739</v>
      </c>
      <c r="K148" s="7" cm="1">
        <f t="array" ref="K148">((LN(B148)-LN(B147))-(LN(F148)-LN(F147)))*100</f>
        <v>0.598620700497854</v>
      </c>
      <c r="L148" s="8">
        <v>0</v>
      </c>
      <c r="M148" s="8">
        <v>0</v>
      </c>
      <c r="N148" s="8">
        <v>1</v>
      </c>
      <c r="O148" s="8">
        <v>0</v>
      </c>
    </row>
    <row r="149" ht="13.65" customHeight="1">
      <c r="A149" t="s" s="3">
        <v>162</v>
      </c>
      <c r="B149" s="4">
        <v>11382913</v>
      </c>
      <c r="C149" s="4">
        <v>-0.3124812</v>
      </c>
      <c r="D149" s="4">
        <v>101.13</v>
      </c>
      <c r="E149" s="4">
        <v>2766817.9</v>
      </c>
      <c r="F149" s="4">
        <v>2934853.17</v>
      </c>
      <c r="G149" s="4">
        <v>1699891.65</v>
      </c>
      <c r="H149" s="4">
        <v>9.800000000000001</v>
      </c>
      <c r="I149" s="5">
        <v>48.2636705</v>
      </c>
      <c r="J149" s="6" cm="1">
        <f t="array" ref="J149">(LN(G149/E149)-LN(G148/E148))*100</f>
        <v>-0.207194143073458</v>
      </c>
      <c r="K149" s="7" cm="1">
        <f t="array" ref="K149">((LN(B149)-LN(B148))-(LN(F149)-LN(F148)))*100</f>
        <v>0.496432327258667</v>
      </c>
      <c r="L149" s="8">
        <v>0</v>
      </c>
      <c r="M149" s="8">
        <v>0</v>
      </c>
      <c r="N149" s="8">
        <v>0</v>
      </c>
      <c r="O149" s="8">
        <v>0</v>
      </c>
    </row>
    <row r="150" ht="13.65" customHeight="1">
      <c r="A150" t="s" s="3">
        <v>163</v>
      </c>
      <c r="B150" s="4">
        <v>11581144</v>
      </c>
      <c r="C150" s="4">
        <v>-0.3278311</v>
      </c>
      <c r="D150" s="4">
        <v>101.49</v>
      </c>
      <c r="E150" s="4">
        <v>2799878.9</v>
      </c>
      <c r="F150" s="4">
        <v>2958614.89</v>
      </c>
      <c r="G150" s="4">
        <v>1717019</v>
      </c>
      <c r="H150" s="4">
        <v>9.5</v>
      </c>
      <c r="I150" s="5">
        <v>51.7411683</v>
      </c>
      <c r="J150" s="6" cm="1">
        <f t="array" ref="J150">(LN(G150/E150)-LN(G149/E149))*100</f>
        <v>-0.185314502504935</v>
      </c>
      <c r="K150" s="7" cm="1">
        <f t="array" ref="K150">((LN(B150)-LN(B149))-(LN(F150)-LN(F149)))*100</f>
        <v>0.92010954691375</v>
      </c>
      <c r="L150" s="8">
        <v>1</v>
      </c>
      <c r="M150" s="8">
        <v>0</v>
      </c>
      <c r="N150" s="8">
        <v>0</v>
      </c>
      <c r="O150" s="8">
        <v>0</v>
      </c>
    </row>
    <row r="151" ht="13.65" customHeight="1">
      <c r="A151" t="s" s="3">
        <v>164</v>
      </c>
      <c r="B151" s="4">
        <v>11652740</v>
      </c>
      <c r="C151" s="4">
        <v>-0.3299478</v>
      </c>
      <c r="D151" s="4">
        <v>102.08</v>
      </c>
      <c r="E151" s="4">
        <v>2829843.2</v>
      </c>
      <c r="F151" s="4">
        <v>2978219.56</v>
      </c>
      <c r="G151" s="4">
        <v>1726500</v>
      </c>
      <c r="H151" s="4">
        <v>9.199999999999999</v>
      </c>
      <c r="I151" s="5">
        <v>46.6053126</v>
      </c>
      <c r="J151" s="6" cm="1">
        <f t="array" ref="J151">(LN(G151/E151)-LN(G150/E150))*100</f>
        <v>-0.513854733254954</v>
      </c>
      <c r="K151" s="7" cm="1">
        <f t="array" ref="K151">((LN(B151)-LN(B150))-(LN(F151)-LN(F150)))*100</f>
        <v>-0.0441355421910927</v>
      </c>
      <c r="L151" s="8">
        <v>0</v>
      </c>
      <c r="M151" s="8">
        <v>1</v>
      </c>
      <c r="N151" s="8">
        <v>0</v>
      </c>
      <c r="O151" s="8">
        <v>0</v>
      </c>
    </row>
    <row r="152" ht="13.65" customHeight="1">
      <c r="A152" t="s" s="3">
        <v>165</v>
      </c>
      <c r="B152" s="4">
        <v>11773187</v>
      </c>
      <c r="C152" s="4">
        <v>-0.3296322</v>
      </c>
      <c r="D152" s="4">
        <v>102.29</v>
      </c>
      <c r="E152" s="4">
        <v>2857276.3</v>
      </c>
      <c r="F152" s="4">
        <v>3000041.13</v>
      </c>
      <c r="G152" s="4">
        <v>1738542.48</v>
      </c>
      <c r="H152" s="4">
        <v>9</v>
      </c>
      <c r="I152" s="5">
        <v>44.3698194</v>
      </c>
      <c r="J152" s="6" cm="1">
        <f t="array" ref="J152">(LN(G152/E152)-LN(G151/E151))*100</f>
        <v>-0.269665547132147</v>
      </c>
      <c r="K152" s="7" cm="1">
        <f t="array" ref="K152">((LN(B152)-LN(B151))-(LN(F152)-LN(F151)))*100</f>
        <v>0.298297258438929</v>
      </c>
      <c r="L152" s="8">
        <v>0</v>
      </c>
      <c r="M152" s="8">
        <v>0</v>
      </c>
      <c r="N152" s="8">
        <v>1</v>
      </c>
      <c r="O152" s="8">
        <v>0</v>
      </c>
    </row>
    <row r="153" ht="13.65" customHeight="1">
      <c r="A153" t="s" s="3">
        <v>166</v>
      </c>
      <c r="B153" s="4">
        <v>11858924</v>
      </c>
      <c r="C153" s="4">
        <v>-0.3288134</v>
      </c>
      <c r="D153" s="4">
        <v>102.49</v>
      </c>
      <c r="E153" s="4">
        <v>2891509.9</v>
      </c>
      <c r="F153" s="4">
        <v>3024473.89</v>
      </c>
      <c r="G153" s="4">
        <v>1757780.95</v>
      </c>
      <c r="H153" s="4">
        <v>8.699999999999999</v>
      </c>
      <c r="I153" s="5">
        <v>51.8969954</v>
      </c>
      <c r="J153" s="6" cm="1">
        <f t="array" ref="J153">(LN(G153/E153)-LN(G152/E152))*100</f>
        <v>-0.0904911376309603</v>
      </c>
      <c r="K153" s="7" cm="1">
        <f t="array" ref="K153">((LN(B153)-LN(B152))-(LN(F153)-LN(F152)))*100</f>
        <v>-0.08551505660712171</v>
      </c>
      <c r="L153" s="8">
        <v>0</v>
      </c>
      <c r="M153" s="8">
        <v>0</v>
      </c>
      <c r="N153" s="8">
        <v>0</v>
      </c>
      <c r="O153" s="8">
        <v>0</v>
      </c>
    </row>
    <row r="154" ht="13.65" customHeight="1">
      <c r="A154" t="s" s="3">
        <v>167</v>
      </c>
      <c r="B154" s="4">
        <v>11947415</v>
      </c>
      <c r="C154" s="4">
        <v>-0.3282864</v>
      </c>
      <c r="D154" s="4">
        <v>102.91</v>
      </c>
      <c r="E154" s="4">
        <v>2905021.3</v>
      </c>
      <c r="F154" s="4">
        <v>3025710.75</v>
      </c>
      <c r="G154" s="4">
        <v>1768709.14</v>
      </c>
      <c r="H154" s="4">
        <v>8.6</v>
      </c>
      <c r="I154" s="5">
        <v>54.4216891</v>
      </c>
      <c r="J154" s="6" cm="1">
        <f t="array" ref="J154">(LN(G154/E154)-LN(G153/E153))*100</f>
        <v>0.153589137907989</v>
      </c>
      <c r="K154" s="7" cm="1">
        <f t="array" ref="K154">((LN(B154)-LN(B153))-(LN(F154)-LN(F153)))*100</f>
        <v>0.702540579212041</v>
      </c>
      <c r="L154" s="8">
        <v>1</v>
      </c>
      <c r="M154" s="8">
        <v>0</v>
      </c>
      <c r="N154" s="8">
        <v>0</v>
      </c>
      <c r="O154" s="8">
        <v>0</v>
      </c>
    </row>
    <row r="155" ht="13.65" customHeight="1">
      <c r="A155" t="s" s="3">
        <v>168</v>
      </c>
      <c r="B155" s="4">
        <v>12148975</v>
      </c>
      <c r="C155" s="4">
        <v>-0.3252416</v>
      </c>
      <c r="D155" s="4">
        <v>104.09</v>
      </c>
      <c r="E155" s="4">
        <v>2927813.1</v>
      </c>
      <c r="F155" s="4">
        <v>3041200.66</v>
      </c>
      <c r="G155" s="4">
        <v>1784246.89</v>
      </c>
      <c r="H155" s="4">
        <v>8.300000000000001</v>
      </c>
      <c r="I155" s="5">
        <v>62.6885245</v>
      </c>
      <c r="J155" s="6" cm="1">
        <f t="array" ref="J155">(LN(G155/E155)-LN(G154/E154))*100</f>
        <v>0.0931395124105505</v>
      </c>
      <c r="K155" s="7" cm="1">
        <f t="array" ref="K155">((LN(B155)-LN(B154))-(LN(F155)-LN(F154)))*100</f>
        <v>1.1623498272483</v>
      </c>
      <c r="L155" s="8">
        <v>0</v>
      </c>
      <c r="M155" s="8">
        <v>1</v>
      </c>
      <c r="N155" s="8">
        <v>0</v>
      </c>
      <c r="O155" s="8">
        <v>0</v>
      </c>
    </row>
    <row r="156" ht="13.65" customHeight="1">
      <c r="A156" t="s" s="3">
        <v>169</v>
      </c>
      <c r="B156" s="4">
        <v>12192728</v>
      </c>
      <c r="C156" s="4">
        <v>-0.3195258</v>
      </c>
      <c r="D156" s="4">
        <v>104.42</v>
      </c>
      <c r="E156" s="4">
        <v>2945391.4</v>
      </c>
      <c r="F156" s="4">
        <v>3043537.25</v>
      </c>
      <c r="G156" s="4">
        <v>1795918.5</v>
      </c>
      <c r="H156" s="4">
        <v>8</v>
      </c>
      <c r="I156" s="5">
        <v>65.2836483</v>
      </c>
      <c r="J156" s="6" cm="1">
        <f t="array" ref="J156">(LN(G156/E156)-LN(G155/E155))*100</f>
        <v>0.0534224988977094</v>
      </c>
      <c r="K156" s="7" cm="1">
        <f t="array" ref="K156">((LN(B156)-LN(B155))-(LN(F156)-LN(F155)))*100</f>
        <v>0.282688767625849</v>
      </c>
      <c r="L156" s="8">
        <v>0</v>
      </c>
      <c r="M156" s="8">
        <v>0</v>
      </c>
      <c r="N156" s="8">
        <v>1</v>
      </c>
      <c r="O156" s="8">
        <v>0</v>
      </c>
    </row>
    <row r="157" ht="13.65" customHeight="1">
      <c r="A157" t="s" s="3">
        <v>170</v>
      </c>
      <c r="B157" s="4">
        <v>12367971</v>
      </c>
      <c r="C157" s="4">
        <v>-0.315318</v>
      </c>
      <c r="D157" s="4">
        <v>104.05</v>
      </c>
      <c r="E157" s="4">
        <v>2975886.9</v>
      </c>
      <c r="F157" s="4">
        <v>3060003.32</v>
      </c>
      <c r="G157" s="4">
        <v>1820376.86</v>
      </c>
      <c r="H157" s="4">
        <v>7.9</v>
      </c>
      <c r="I157" s="5">
        <v>60.1936821</v>
      </c>
      <c r="J157" s="6" cm="1">
        <f t="array" ref="J157">(LN(G157/E157)-LN(G156/E156))*100</f>
        <v>0.322655463845412</v>
      </c>
      <c r="K157" s="7" cm="1">
        <f t="array" ref="K157">((LN(B157)-LN(B156))-(LN(F157)-LN(F156)))*100</f>
        <v>0.887484577812891</v>
      </c>
      <c r="L157" s="8">
        <v>0</v>
      </c>
      <c r="M157" s="8">
        <v>0</v>
      </c>
      <c r="N157" s="8">
        <v>0</v>
      </c>
      <c r="O157" s="8">
        <v>0</v>
      </c>
    </row>
    <row r="158" ht="13.65" customHeight="1">
      <c r="A158" t="s" s="3">
        <v>171</v>
      </c>
      <c r="B158" s="4">
        <v>12535013</v>
      </c>
      <c r="C158" s="4">
        <v>-0.3085468</v>
      </c>
      <c r="D158" s="4">
        <v>104.35</v>
      </c>
      <c r="E158" s="4">
        <v>3007133.6</v>
      </c>
      <c r="F158" s="4">
        <v>3082093.95</v>
      </c>
      <c r="G158" s="4">
        <v>1834870.75</v>
      </c>
      <c r="H158" s="4">
        <v>7.8</v>
      </c>
      <c r="I158" s="5">
        <v>56.0206373</v>
      </c>
      <c r="J158" s="6" cm="1">
        <f t="array" ref="J158">(LN(G158/E158)-LN(G157/E157))*100</f>
        <v>-0.251472299620137</v>
      </c>
      <c r="K158" s="7" cm="1">
        <f t="array" ref="K158">((LN(B158)-LN(B157))-(LN(F158)-LN(F157)))*100</f>
        <v>0.622240266960894</v>
      </c>
      <c r="L158" s="8">
        <v>1</v>
      </c>
      <c r="M158" s="8">
        <v>0</v>
      </c>
      <c r="N158" s="8">
        <v>0</v>
      </c>
      <c r="O158" s="8">
        <v>0</v>
      </c>
    </row>
    <row r="159" ht="13.65" customHeight="1">
      <c r="A159" t="s" s="3">
        <v>172</v>
      </c>
      <c r="B159" s="4">
        <v>12713460</v>
      </c>
      <c r="C159" s="4">
        <v>-0.3170712</v>
      </c>
      <c r="D159" s="4">
        <v>105.41</v>
      </c>
      <c r="E159" s="4">
        <v>3028299.4</v>
      </c>
      <c r="F159" s="4">
        <v>3093225.18</v>
      </c>
      <c r="G159" s="4">
        <v>1849236.9</v>
      </c>
      <c r="H159" s="4">
        <v>7.6</v>
      </c>
      <c r="I159" s="5">
        <v>60.325148</v>
      </c>
      <c r="J159" s="6" cm="1">
        <f t="array" ref="J159">(LN(G159/E159)-LN(G158/E158))*100</f>
        <v>0.0785149299022847</v>
      </c>
      <c r="K159" s="7" cm="1">
        <f t="array" ref="K159">((LN(B159)-LN(B158))-(LN(F159)-LN(F158)))*100</f>
        <v>1.05304317707304</v>
      </c>
      <c r="L159" s="8">
        <v>0</v>
      </c>
      <c r="M159" s="8">
        <v>1</v>
      </c>
      <c r="N159" s="8">
        <v>0</v>
      </c>
      <c r="O159" s="8">
        <v>0</v>
      </c>
    </row>
    <row r="160" ht="13.65" customHeight="1">
      <c r="A160" t="s" s="3">
        <v>173</v>
      </c>
      <c r="B160" s="4">
        <v>12921691</v>
      </c>
      <c r="C160" s="4">
        <v>-0.3967076</v>
      </c>
      <c r="D160" s="4">
        <v>105.29</v>
      </c>
      <c r="E160" s="4">
        <v>3049904</v>
      </c>
      <c r="F160" s="4">
        <v>3099051.75</v>
      </c>
      <c r="G160" s="4">
        <v>1857752.24</v>
      </c>
      <c r="H160" s="4">
        <v>7.4</v>
      </c>
      <c r="I160" s="5">
        <v>55.4104108</v>
      </c>
      <c r="J160" s="6" cm="1">
        <f t="array" ref="J160">(LN(G160/E160)-LN(G159/E159))*100</f>
        <v>-0.251469057373682</v>
      </c>
      <c r="K160" s="7" cm="1">
        <f t="array" ref="K160">((LN(B160)-LN(B159))-(LN(F160)-LN(F159)))*100</f>
        <v>1.43642139507598</v>
      </c>
      <c r="L160" s="8">
        <v>0</v>
      </c>
      <c r="M160" s="8">
        <v>0</v>
      </c>
      <c r="N160" s="8">
        <v>1</v>
      </c>
      <c r="O160" s="8">
        <v>0</v>
      </c>
    </row>
    <row r="161" ht="13.65" customHeight="1">
      <c r="A161" t="s" s="3">
        <v>174</v>
      </c>
      <c r="B161" s="4">
        <v>12981800</v>
      </c>
      <c r="C161" s="4">
        <v>-0.4029518</v>
      </c>
      <c r="D161" s="4">
        <v>105.43</v>
      </c>
      <c r="E161" s="4">
        <v>3064635.6</v>
      </c>
      <c r="F161" s="4">
        <v>3095829.59</v>
      </c>
      <c r="G161" s="4">
        <v>1854918.53</v>
      </c>
      <c r="H161" s="4">
        <v>7.4</v>
      </c>
      <c r="I161" s="5">
        <v>55.7768261</v>
      </c>
      <c r="J161" s="6" cm="1">
        <f t="array" ref="J161">(LN(G161/E161)-LN(G160/E160))*100</f>
        <v>-0.634506476143526</v>
      </c>
      <c r="K161" s="7" cm="1">
        <f t="array" ref="K161">((LN(B161)-LN(B160))-(LN(F161)-LN(F160)))*100</f>
        <v>0.568126978123473</v>
      </c>
      <c r="L161" s="8">
        <v>0</v>
      </c>
      <c r="M161" s="8">
        <v>0</v>
      </c>
      <c r="N161" s="8">
        <v>0</v>
      </c>
      <c r="O161" s="8">
        <v>0</v>
      </c>
    </row>
    <row r="162" ht="13.65" customHeight="1">
      <c r="A162" t="s" s="3">
        <v>175</v>
      </c>
      <c r="B162" s="4">
        <v>13488513</v>
      </c>
      <c r="C162" s="4">
        <v>-0.4055409</v>
      </c>
      <c r="D162" s="4">
        <v>105.13</v>
      </c>
      <c r="E162" s="4">
        <v>2978491.8</v>
      </c>
      <c r="F162" s="4">
        <v>2995342.17</v>
      </c>
      <c r="G162" s="4">
        <v>1865405.55</v>
      </c>
      <c r="H162" s="4">
        <v>7.3</v>
      </c>
      <c r="I162" s="5">
        <v>46.6486277</v>
      </c>
      <c r="J162" s="6" cm="1">
        <f t="array" ref="J162">(LN(G162/E162)-LN(G161/E161))*100</f>
        <v>3.41493131813895</v>
      </c>
      <c r="K162" s="7" cm="1">
        <f t="array" ref="K162">((LN(B162)-LN(B161))-(LN(F162)-LN(F161)))*100</f>
        <v>7.12874979009293</v>
      </c>
      <c r="L162" s="8">
        <v>1</v>
      </c>
      <c r="M162" s="8">
        <v>0</v>
      </c>
      <c r="N162" s="8">
        <v>0</v>
      </c>
      <c r="O162" s="8">
        <v>0</v>
      </c>
    </row>
    <row r="163" ht="13.65" customHeight="1">
      <c r="A163" t="s" s="3">
        <v>176</v>
      </c>
      <c r="B163" s="4">
        <v>13908323</v>
      </c>
      <c r="C163" s="4">
        <v>-0.30067</v>
      </c>
      <c r="D163" s="4">
        <v>105.69</v>
      </c>
      <c r="E163" s="4">
        <v>2679166.7</v>
      </c>
      <c r="F163" s="4">
        <v>2662313.51</v>
      </c>
      <c r="G163" s="4">
        <v>1816007.55</v>
      </c>
      <c r="H163" s="4">
        <v>7.7</v>
      </c>
      <c r="I163" s="5">
        <v>31.3667378</v>
      </c>
      <c r="J163" s="6" cm="1">
        <f t="array" ref="J163">(LN(G163/E163)-LN(G162/E162))*100</f>
        <v>7.90732068019371</v>
      </c>
      <c r="K163" s="7" cm="1">
        <f t="array" ref="K163">((LN(B163)-LN(B162))-(LN(F163)-LN(F162)))*100</f>
        <v>14.8511990305852</v>
      </c>
      <c r="L163" s="8">
        <v>0</v>
      </c>
      <c r="M163" s="8">
        <v>1</v>
      </c>
      <c r="N163" s="8">
        <v>0</v>
      </c>
      <c r="O163" s="8">
        <v>1</v>
      </c>
    </row>
    <row r="164" ht="13.65" customHeight="1">
      <c r="A164" t="s" s="3">
        <v>177</v>
      </c>
      <c r="B164" s="4">
        <v>14152539</v>
      </c>
      <c r="C164" s="4">
        <v>-0.4717361</v>
      </c>
      <c r="D164" s="4">
        <v>104.96</v>
      </c>
      <c r="E164" s="4">
        <v>2958078.5</v>
      </c>
      <c r="F164" s="4">
        <v>2969661.49</v>
      </c>
      <c r="G164" s="4">
        <v>1862332.63</v>
      </c>
      <c r="H164" s="4">
        <v>8.5</v>
      </c>
      <c r="I164" s="5">
        <v>37.4904412</v>
      </c>
      <c r="J164" s="6" cm="1">
        <f t="array" ref="J164">(LN(G164/E164)-LN(G163/E163))*100</f>
        <v>-7.38447223137021</v>
      </c>
      <c r="K164" s="7" cm="1">
        <f t="array" ref="K164">((LN(B164)-LN(B163))-(LN(F164)-LN(F163)))*100</f>
        <v>-9.184587979580879</v>
      </c>
      <c r="L164" s="8">
        <v>0</v>
      </c>
      <c r="M164" s="8">
        <v>0</v>
      </c>
      <c r="N164" s="8">
        <v>1</v>
      </c>
      <c r="O164" s="8">
        <v>0</v>
      </c>
    </row>
    <row r="165" ht="13.65" customHeight="1">
      <c r="A165" t="s" s="3">
        <v>178</v>
      </c>
      <c r="B165" s="4">
        <v>14477108</v>
      </c>
      <c r="C165" s="4">
        <v>-0.5226948</v>
      </c>
      <c r="D165" s="4">
        <v>105.15</v>
      </c>
      <c r="E165" s="4">
        <v>2992183.1</v>
      </c>
      <c r="F165" s="4">
        <v>2980602.95</v>
      </c>
      <c r="G165" s="4">
        <v>1871513.17</v>
      </c>
      <c r="H165" s="4">
        <v>8.300000000000001</v>
      </c>
      <c r="I165" s="5">
        <v>38.2202585</v>
      </c>
      <c r="J165" s="6" cm="1">
        <f t="array" ref="J165">(LN(G165/E165)-LN(G164/E164))*100</f>
        <v>-0.6545871298727139</v>
      </c>
      <c r="K165" s="7" cm="1">
        <f t="array" ref="K165">((LN(B165)-LN(B164))-(LN(F165)-LN(F164)))*100</f>
        <v>1.89969582536094</v>
      </c>
      <c r="L165" s="8">
        <v>0</v>
      </c>
      <c r="M165" s="8">
        <v>0</v>
      </c>
      <c r="N165" s="8">
        <v>0</v>
      </c>
      <c r="O165" s="8">
        <v>0</v>
      </c>
    </row>
    <row r="166" ht="13.65" customHeight="1">
      <c r="A166" t="s" s="3">
        <v>179</v>
      </c>
      <c r="B166" s="4">
        <v>14761227</v>
      </c>
      <c r="C166" s="4">
        <v>-0.542446</v>
      </c>
      <c r="D166" s="4">
        <v>106.53</v>
      </c>
      <c r="E166" s="4">
        <v>3032148.9</v>
      </c>
      <c r="F166" s="4">
        <v>3004292.17</v>
      </c>
      <c r="G166" s="4">
        <v>1890115.92</v>
      </c>
      <c r="H166" s="4">
        <v>8.199999999999999</v>
      </c>
      <c r="I166" s="5">
        <v>50.6072136</v>
      </c>
      <c r="J166" s="6" cm="1">
        <f t="array" ref="J166">(LN(G166/E166)-LN(G165/E165))*100</f>
        <v>-0.337744625861081</v>
      </c>
      <c r="K166" s="7" cm="1">
        <f t="array" ref="K166">((LN(B166)-LN(B165))-(LN(F166)-LN(F165)))*100</f>
        <v>1.151892531899</v>
      </c>
      <c r="L166" s="8">
        <v>1</v>
      </c>
      <c r="M166" s="8">
        <v>0</v>
      </c>
      <c r="N166" s="8">
        <v>0</v>
      </c>
      <c r="O166" s="8">
        <v>0</v>
      </c>
    </row>
    <row r="167" ht="13.65" customHeight="1">
      <c r="A167" t="s" s="3">
        <v>180</v>
      </c>
      <c r="B167" s="4">
        <v>14987867</v>
      </c>
      <c r="C167" s="4">
        <v>-0.5403848</v>
      </c>
      <c r="D167" s="4">
        <v>107.7</v>
      </c>
      <c r="E167" s="4">
        <v>3108063.9</v>
      </c>
      <c r="F167" s="4">
        <v>3069219.13</v>
      </c>
      <c r="G167" s="4">
        <v>1932231.45</v>
      </c>
      <c r="H167" s="4">
        <v>8.1</v>
      </c>
      <c r="I167" s="5">
        <v>56.9917662</v>
      </c>
      <c r="J167" s="6" cm="1">
        <f t="array" ref="J167">(LN(G167/E167)-LN(G166/E166))*100</f>
        <v>-0.26910498389599</v>
      </c>
      <c r="K167" s="7" cm="1">
        <f t="array" ref="K167">((LN(B167)-LN(B166))-(LN(F167)-LN(F166)))*100</f>
        <v>-0.614412337665371</v>
      </c>
      <c r="L167" s="8">
        <v>0</v>
      </c>
      <c r="M167" s="8">
        <v>1</v>
      </c>
      <c r="N167" s="8">
        <v>0</v>
      </c>
      <c r="O167" s="8">
        <v>0</v>
      </c>
    </row>
    <row r="168" ht="13.65" customHeight="1">
      <c r="A168" t="s" s="3">
        <v>181</v>
      </c>
      <c r="B168" s="4">
        <v>15253663</v>
      </c>
      <c r="C168" s="4">
        <v>-0.5458182</v>
      </c>
      <c r="D168" s="4">
        <v>108.49</v>
      </c>
      <c r="E168" s="4">
        <v>3201234.1</v>
      </c>
      <c r="F168" s="4">
        <v>3123112.04</v>
      </c>
      <c r="G168" s="4">
        <v>1949292.9</v>
      </c>
      <c r="H168" s="4">
        <v>7.5</v>
      </c>
      <c r="I168" s="5">
        <v>61.5627479</v>
      </c>
      <c r="J168" s="6" cm="1">
        <f t="array" ref="J168">(LN(G168/E168)-LN(G167/E167))*100</f>
        <v>-2.07452348913782</v>
      </c>
      <c r="K168" s="7" cm="1">
        <f t="array" ref="K168">((LN(B168)-LN(B167))-(LN(F168)-LN(F167)))*100</f>
        <v>0.0171884584331039</v>
      </c>
      <c r="L168" s="8">
        <v>0</v>
      </c>
      <c r="M168" s="8">
        <v>0</v>
      </c>
      <c r="N168" s="8">
        <v>1</v>
      </c>
      <c r="O168" s="8">
        <v>0</v>
      </c>
    </row>
    <row r="169" ht="13.65" customHeight="1">
      <c r="A169" t="s" s="3">
        <v>182</v>
      </c>
      <c r="B169" s="4">
        <v>15499049</v>
      </c>
      <c r="C169" s="4">
        <v>-0.5663764999999999</v>
      </c>
      <c r="D169" s="4">
        <v>110.37</v>
      </c>
      <c r="E169" s="4">
        <v>3261776.2</v>
      </c>
      <c r="F169" s="4">
        <v>3148318.3</v>
      </c>
      <c r="G169" s="4">
        <v>1988456.42</v>
      </c>
      <c r="H169" s="4">
        <v>7.1</v>
      </c>
      <c r="I169" s="5">
        <v>69.1019977</v>
      </c>
      <c r="J169" s="6" cm="1">
        <f t="array" ref="J169">(LN(G169/E169)-LN(G168/E168))*100</f>
        <v>0.115647605823793</v>
      </c>
      <c r="K169" s="7" cm="1">
        <f t="array" ref="K169">((LN(B169)-LN(B168))-(LN(F169)-LN(F168)))*100</f>
        <v>0.7920512429270939</v>
      </c>
      <c r="L169" s="8">
        <v>0</v>
      </c>
      <c r="M169" s="8">
        <v>0</v>
      </c>
      <c r="N169" s="8">
        <v>0</v>
      </c>
      <c r="O169" s="8">
        <v>0</v>
      </c>
    </row>
    <row r="170" ht="13.65" customHeight="1">
      <c r="A170" t="s" s="3">
        <v>183</v>
      </c>
      <c r="B170" s="4">
        <v>15729145</v>
      </c>
      <c r="C170" s="4">
        <v>-0.5290259</v>
      </c>
      <c r="D170" s="4">
        <v>114.46</v>
      </c>
      <c r="E170" s="4">
        <v>3337738.3</v>
      </c>
      <c r="F170" s="4">
        <v>3171778.51</v>
      </c>
      <c r="G170" s="4">
        <v>2013959.71</v>
      </c>
      <c r="H170" s="4">
        <v>6.8</v>
      </c>
      <c r="I170" s="5">
        <v>85.47373880000001</v>
      </c>
      <c r="J170" s="6" cm="1">
        <f t="array" ref="J170">(LN(G170/E170)-LN(G169/E169))*100</f>
        <v>-1.02774085744923</v>
      </c>
      <c r="K170" s="7" cm="1">
        <f t="array" ref="K170">((LN(B170)-LN(B169))-(LN(F170)-LN(F169)))*100</f>
        <v>0.731265618646937</v>
      </c>
      <c r="L170" s="8">
        <v>1</v>
      </c>
      <c r="M170" s="8">
        <v>0</v>
      </c>
      <c r="N170" s="8">
        <v>0</v>
      </c>
      <c r="O170" s="8">
        <v>0</v>
      </c>
    </row>
    <row r="171" ht="13.65" customHeight="1">
      <c r="A171" t="s" s="3">
        <v>184</v>
      </c>
      <c r="B171" s="4">
        <v>15929996</v>
      </c>
      <c r="C171" s="4">
        <v>-0.3576164</v>
      </c>
      <c r="D171" s="4">
        <v>117.01</v>
      </c>
      <c r="E171" s="4">
        <v>3409363.7</v>
      </c>
      <c r="F171" s="4">
        <v>3201012.35</v>
      </c>
      <c r="G171" s="4">
        <v>2052973.37</v>
      </c>
      <c r="H171" s="4">
        <v>6.7</v>
      </c>
      <c r="I171" s="5">
        <v>103.4395898</v>
      </c>
      <c r="J171" s="6" cm="1">
        <f t="array" ref="J171">(LN(G171/E171)-LN(G170/E170))*100</f>
        <v>-0.204587615674379</v>
      </c>
      <c r="K171" s="7" cm="1">
        <f t="array" ref="K171">((LN(B171)-LN(B170))-(LN(F171)-LN(F170)))*100</f>
        <v>0.351386754381622</v>
      </c>
      <c r="L171" s="8">
        <v>0</v>
      </c>
      <c r="M171" s="8">
        <v>1</v>
      </c>
      <c r="N171" s="8">
        <v>0</v>
      </c>
      <c r="O171" s="8">
        <v>0</v>
      </c>
    </row>
    <row r="172" ht="13.65" customHeight="1">
      <c r="A172" t="s" s="3">
        <v>185</v>
      </c>
      <c r="B172" s="4">
        <v>16195744</v>
      </c>
      <c r="C172" s="4">
        <v>0.4807406</v>
      </c>
      <c r="D172" s="4">
        <v>119.26</v>
      </c>
      <c r="E172" s="4">
        <v>3467612.4</v>
      </c>
      <c r="F172" s="4">
        <v>3215574.89</v>
      </c>
      <c r="G172" s="4">
        <v>2121425.47</v>
      </c>
      <c r="H172" s="4">
        <v>6.7</v>
      </c>
      <c r="I172" s="5">
        <v>94.8822385</v>
      </c>
      <c r="J172" s="6" cm="1">
        <f t="array" ref="J172">(LN(G172/E172)-LN(G171/E171))*100</f>
        <v>1.58584752254297</v>
      </c>
      <c r="K172" s="7" cm="1">
        <f t="array" ref="K172">((LN(B172)-LN(B171))-(LN(F172)-LN(F171)))*100</f>
        <v>1.20055813651696</v>
      </c>
      <c r="L172" s="8">
        <v>0</v>
      </c>
      <c r="M172" s="8">
        <v>0</v>
      </c>
      <c r="N172" s="8">
        <v>1</v>
      </c>
      <c r="O172" s="8">
        <v>0</v>
      </c>
    </row>
    <row r="173" ht="13.65" customHeight="1">
      <c r="A173" t="s" s="3">
        <v>186</v>
      </c>
      <c r="B173" s="4">
        <v>16059190</v>
      </c>
      <c r="C173" s="4">
        <v>1.7721234</v>
      </c>
      <c r="D173" s="4">
        <v>120.52</v>
      </c>
      <c r="E173" s="4">
        <v>3535342.3</v>
      </c>
      <c r="F173" s="4">
        <v>3213768.26</v>
      </c>
      <c r="G173" s="4">
        <v>2161520.97</v>
      </c>
      <c r="H173" s="4">
        <v>6.7</v>
      </c>
      <c r="I173" s="5">
        <v>86.2241806</v>
      </c>
      <c r="J173" s="6" cm="1">
        <f t="array" ref="J173">(LN(G173/E173)-LN(G172/E172))*100</f>
        <v>-0.0619965942408318</v>
      </c>
      <c r="K173" s="7" cm="1">
        <f t="array" ref="K173">((LN(B173)-LN(B172))-(LN(F173)-LN(F172)))*100</f>
        <v>-0.7905225075436561</v>
      </c>
      <c r="L173" s="8">
        <v>0</v>
      </c>
      <c r="M173" s="8">
        <v>0</v>
      </c>
      <c r="N173" s="8">
        <v>0</v>
      </c>
      <c r="O173" s="8">
        <v>0</v>
      </c>
    </row>
    <row r="174" ht="13.65" customHeight="1">
      <c r="A174" t="s" s="3">
        <v>187</v>
      </c>
      <c r="B174" s="4">
        <v>16040580</v>
      </c>
      <c r="C174" s="4">
        <v>2.6319263</v>
      </c>
      <c r="D174" s="4">
        <v>122.34</v>
      </c>
      <c r="E174" s="4">
        <v>3606670.6</v>
      </c>
      <c r="F174" s="4">
        <v>3213033.61</v>
      </c>
      <c r="G174" s="4">
        <v>2203850.89</v>
      </c>
      <c r="H174" s="4">
        <v>6.6</v>
      </c>
      <c r="I174" s="5">
        <v>76.47570709999999</v>
      </c>
      <c r="J174" s="6" cm="1">
        <f t="array" ref="J174">(LN(G174/E174)-LN(G173/E173))*100</f>
        <v>-0.0580840916385217</v>
      </c>
      <c r="K174" s="7" cm="1">
        <f t="array" ref="K174">((LN(B174)-LN(B173))-(LN(F174)-LN(F173)))*100</f>
        <v>-0.09308892855788289</v>
      </c>
      <c r="L174" s="8">
        <v>1</v>
      </c>
      <c r="M174" s="8">
        <v>0</v>
      </c>
      <c r="N174" s="8">
        <v>0</v>
      </c>
      <c r="O174" s="8">
        <v>0</v>
      </c>
    </row>
    <row r="175" ht="13.65" customHeight="1">
      <c r="A175" t="s" s="3">
        <v>188</v>
      </c>
      <c r="B175" s="4">
        <v>15980596</v>
      </c>
      <c r="C175" s="4">
        <v>3.3623451</v>
      </c>
      <c r="D175" s="4">
        <v>123.45</v>
      </c>
      <c r="E175" s="4">
        <v>3655675.5</v>
      </c>
      <c r="F175" s="4">
        <v>3218927.14</v>
      </c>
      <c r="G175" s="4">
        <v>2230470.58</v>
      </c>
      <c r="H175" s="4">
        <v>6.5</v>
      </c>
      <c r="I175" s="5">
        <v>71.3780337</v>
      </c>
      <c r="J175" s="6" cm="1">
        <f t="array" ref="J175">(LN(G175/E175)-LN(G174/E174))*100</f>
        <v>-0.148946522991728</v>
      </c>
      <c r="K175" s="7" cm="1">
        <f t="array" ref="K175">((LN(B175)-LN(B174))-(LN(F175)-LN(F174)))*100</f>
        <v>-0.557910211652946</v>
      </c>
      <c r="L175" s="8">
        <v>0</v>
      </c>
      <c r="M175" s="8">
        <v>1</v>
      </c>
      <c r="N175" s="8">
        <v>0</v>
      </c>
      <c r="O175" s="8">
        <v>0</v>
      </c>
    </row>
    <row r="176" ht="13.65" customHeight="1">
      <c r="A176" t="s" s="3">
        <v>189</v>
      </c>
      <c r="B176" s="4">
        <v>15986569</v>
      </c>
      <c r="C176" s="4">
        <v>3.7773871</v>
      </c>
      <c r="D176" s="4">
        <v>124.4</v>
      </c>
      <c r="E176" s="4">
        <v>3683891.4</v>
      </c>
      <c r="F176" s="4">
        <v>3218829.73</v>
      </c>
      <c r="G176" s="4">
        <v>2256153.04</v>
      </c>
      <c r="H176" s="4">
        <v>6.6</v>
      </c>
      <c r="I176" s="5">
        <v>78.4528275</v>
      </c>
      <c r="J176" s="6" cm="1">
        <f t="array" ref="J176">(LN(G176/E176)-LN(G175/E175))*100</f>
        <v>0.375983489875736</v>
      </c>
      <c r="K176" s="7" cm="1">
        <f t="array" ref="K176">((LN(B176)-LN(B175))-(LN(F176)-LN(F175)))*100</f>
        <v>0.0403958044874031</v>
      </c>
      <c r="L176" s="8">
        <v>0</v>
      </c>
      <c r="M176" s="8">
        <v>0</v>
      </c>
      <c r="N176" s="8">
        <v>1</v>
      </c>
      <c r="O176" s="8">
        <v>0</v>
      </c>
    </row>
    <row r="177" ht="13.65" customHeight="1">
      <c r="A177" t="s" s="3">
        <v>190</v>
      </c>
      <c r="B177" s="4">
        <v>16108579</v>
      </c>
      <c r="C177" s="4">
        <v>3.9580558</v>
      </c>
      <c r="D177" s="4">
        <v>124.02</v>
      </c>
      <c r="E177" s="4">
        <v>3724718.8</v>
      </c>
      <c r="F177" s="4">
        <v>3221247.97</v>
      </c>
      <c r="G177" s="4">
        <v>2288690.59</v>
      </c>
      <c r="H177" s="4">
        <v>6.5</v>
      </c>
      <c r="I177" s="5">
        <v>76.6950811</v>
      </c>
      <c r="J177" s="6" cm="1">
        <f t="array" ref="J177">(LN(G177/E177)-LN(G176/E176))*100</f>
        <v>0.329697113698979</v>
      </c>
      <c r="K177" s="7" cm="1">
        <f t="array" ref="K177">((LN(B177)-LN(B176))-(LN(F177)-LN(F176)))*100</f>
        <v>0.685205781496201</v>
      </c>
      <c r="L177" s="8">
        <v>0</v>
      </c>
      <c r="M177" s="8">
        <v>0</v>
      </c>
      <c r="N177" s="8">
        <v>0</v>
      </c>
      <c r="O177" s="8">
        <v>0</v>
      </c>
    </row>
    <row r="178" ht="13.65" customHeight="1">
      <c r="A178" t="s" s="3">
        <v>191</v>
      </c>
      <c r="B178" s="4">
        <v>16174841</v>
      </c>
      <c r="C178" s="4">
        <v>3.9238544</v>
      </c>
      <c r="D178" s="4">
        <v>125.29</v>
      </c>
      <c r="E178" s="4">
        <v>3759716.2</v>
      </c>
      <c r="F178" s="4">
        <v>3230466.36</v>
      </c>
      <c r="G178" s="4">
        <v>2325355.44</v>
      </c>
      <c r="H178" s="4">
        <v>6.5</v>
      </c>
      <c r="I178" s="5">
        <v>75.9075137</v>
      </c>
      <c r="J178" s="6" cm="1">
        <f t="array" ref="J178">(LN(G178/E178)-LN(G177/E177))*100</f>
        <v>0.654092872414791</v>
      </c>
      <c r="K178" s="7" cm="1">
        <f t="array" ref="K178">((LN(B178)-LN(B177))-(LN(F178)-LN(F177)))*100</f>
        <v>0.124736521973823</v>
      </c>
      <c r="L178" s="8">
        <v>1</v>
      </c>
      <c r="M178" s="8">
        <v>0</v>
      </c>
      <c r="N178" s="8">
        <v>0</v>
      </c>
      <c r="O178" s="8">
        <v>0</v>
      </c>
    </row>
    <row r="179" ht="13.65" customHeight="1">
      <c r="A179" t="s" s="3">
        <v>192</v>
      </c>
      <c r="B179" s="4">
        <v>16361315</v>
      </c>
      <c r="C179" s="4">
        <v>3.807505</v>
      </c>
      <c r="D179" s="4">
        <v>126.55</v>
      </c>
      <c r="E179" s="4">
        <v>3784524.5</v>
      </c>
      <c r="F179" s="4">
        <v>3236979.89</v>
      </c>
      <c r="G179" s="4">
        <v>2340935.87</v>
      </c>
      <c r="H179" s="4">
        <v>6.4</v>
      </c>
      <c r="I179" s="5">
        <v>79.56484</v>
      </c>
      <c r="J179" s="6" cm="1">
        <f t="array" ref="J179">(LN(G179/E179)-LN(G178/E178))*100</f>
        <v>0.0101113392480034</v>
      </c>
      <c r="K179" s="7" cm="1">
        <f t="array" ref="K179">((LN(B179)-LN(B178))-(LN(F179)-LN(F178)))*100</f>
        <v>0.944844489419516</v>
      </c>
      <c r="L179" s="8">
        <v>0</v>
      </c>
      <c r="M179" s="8">
        <v>1</v>
      </c>
      <c r="N179" s="8">
        <v>0</v>
      </c>
      <c r="O179" s="8">
        <v>0</v>
      </c>
    </row>
    <row r="180" ht="13.65" customHeight="1">
      <c r="A180" t="s" s="3">
        <v>193</v>
      </c>
      <c r="B180" s="4">
        <v>16540224</v>
      </c>
      <c r="C180" s="4">
        <v>3.5553771</v>
      </c>
      <c r="D180" s="4">
        <v>126.56</v>
      </c>
      <c r="E180" s="4">
        <v>3823174.1</v>
      </c>
      <c r="F180" s="4">
        <v>3251312.54</v>
      </c>
      <c r="G180" s="4">
        <v>2362784.52</v>
      </c>
      <c r="H180" s="4">
        <v>6.3</v>
      </c>
      <c r="I180" s="5">
        <v>72.5122898</v>
      </c>
      <c r="J180" s="6" cm="1">
        <f t="array" ref="J180">(LN(G180/E180)-LN(G179/E179))*100</f>
        <v>-0.0870731285451842</v>
      </c>
      <c r="K180" s="7" cm="1">
        <f t="array" ref="K180">((LN(B180)-LN(B179))-(LN(F180)-LN(F179)))*100</f>
        <v>0.6457514620617389</v>
      </c>
      <c r="L180" s="8">
        <v>0</v>
      </c>
      <c r="M180" s="8">
        <v>0</v>
      </c>
      <c r="N180" s="8">
        <v>1</v>
      </c>
      <c r="O180" s="8">
        <v>0</v>
      </c>
    </row>
    <row r="181" ht="13.65" customHeight="1">
      <c r="A181" t="s" s="3">
        <v>194</v>
      </c>
      <c r="B181" s="4">
        <v>16776476</v>
      </c>
      <c r="C181" s="4">
        <v>2.9993235</v>
      </c>
      <c r="D181" s="4">
        <v>127.03</v>
      </c>
      <c r="E181" s="4">
        <v>3866526.6</v>
      </c>
      <c r="F181" s="4">
        <v>3263878.49</v>
      </c>
      <c r="G181" s="4">
        <v>2376509.2</v>
      </c>
      <c r="H181" s="4">
        <v>6.2</v>
      </c>
      <c r="I181" s="5">
        <v>69.77982710000001</v>
      </c>
      <c r="J181" s="6" cm="1">
        <f t="array" ref="J181">(LN(G181/E181)-LN(G180/E180))*100</f>
        <v>-0.548370739792137</v>
      </c>
      <c r="K181" s="7" cm="1">
        <f t="array" ref="K181">((LN(B181)-LN(B180))-(LN(F181)-LN(F180)))*100</f>
        <v>1.03249988282652</v>
      </c>
      <c r="L181" s="8">
        <v>0</v>
      </c>
      <c r="M181" s="8">
        <v>0</v>
      </c>
      <c r="N181" s="8">
        <v>0</v>
      </c>
      <c r="O181" s="8">
        <v>0</v>
      </c>
    </row>
    <row r="182" ht="13.65" customHeight="1">
      <c r="A182" t="s" s="3">
        <v>195</v>
      </c>
      <c r="B182" s="4">
        <v>16838607</v>
      </c>
      <c r="C182" s="4">
        <v>2.5572171</v>
      </c>
      <c r="D182" s="4">
        <v>127.99</v>
      </c>
      <c r="E182" s="4">
        <v>3910108.7</v>
      </c>
      <c r="F182" s="4">
        <v>3283229.63</v>
      </c>
      <c r="G182" s="4">
        <v>2398236.43</v>
      </c>
      <c r="H182" s="4">
        <v>6.3</v>
      </c>
      <c r="I182" s="5">
        <v>72.04020610000001</v>
      </c>
      <c r="J182" s="6" cm="1">
        <f t="array" ref="J182">(LN(G182/E182)-LN(G181/E181))*100</f>
        <v>-0.210763136843228</v>
      </c>
      <c r="K182" s="7" cm="1">
        <f t="array" ref="K182">((LN(B182)-LN(B181))-(LN(F182)-LN(F181)))*100</f>
        <v>-0.221475355179201</v>
      </c>
      <c r="L182" s="8">
        <v>1</v>
      </c>
      <c r="M182" s="8">
        <v>0</v>
      </c>
      <c r="N182" s="8">
        <v>0</v>
      </c>
      <c r="O182" s="8">
        <v>0</v>
      </c>
    </row>
    <row r="183" ht="13.65" customHeight="1">
      <c r="A183" t="s" s="3">
        <v>196</v>
      </c>
      <c r="B183" s="4">
        <v>16927287</v>
      </c>
      <c r="C183" s="4">
        <v>2.1067524</v>
      </c>
      <c r="D183" s="4">
        <v>129.03</v>
      </c>
      <c r="E183" s="4">
        <v>3938933.8</v>
      </c>
      <c r="F183" s="4">
        <v>3287888.31</v>
      </c>
      <c r="G183" s="4">
        <v>2420155.53</v>
      </c>
      <c r="H183" s="4">
        <v>6.3</v>
      </c>
      <c r="I183" s="5">
        <v>59.6560832</v>
      </c>
      <c r="J183" s="6" cm="1">
        <f t="array" ref="J183">(LN(G183/E183)-LN(G182/E182))*100</f>
        <v>0.175325686192102</v>
      </c>
      <c r="K183" s="7" cm="1">
        <f t="array" ref="K183">((LN(B183)-LN(B182))-(LN(F183)-LN(F182)))*100</f>
        <v>0.383472315249556</v>
      </c>
      <c r="L183" s="8">
        <v>0</v>
      </c>
      <c r="M183" s="8">
        <v>1</v>
      </c>
      <c r="N183" s="8">
        <v>0</v>
      </c>
      <c r="O183" s="8">
        <v>0</v>
      </c>
    </row>
    <row r="184" ht="13.65" customHeight="1">
      <c r="A184" t="s" s="3">
        <v>197</v>
      </c>
      <c r="B184" s="4">
        <v>16982252</v>
      </c>
      <c r="C184" s="4">
        <v>2.0115719</v>
      </c>
      <c r="D184" s="4">
        <v>129.36</v>
      </c>
      <c r="E184" s="4">
        <v>3970812.6</v>
      </c>
      <c r="F184" s="4">
        <v>3297740.61</v>
      </c>
      <c r="G184" s="4">
        <v>2433201.41</v>
      </c>
      <c r="H184" s="4">
        <v>6.3</v>
      </c>
      <c r="I184" s="5">
        <v>58.9550653</v>
      </c>
      <c r="J184" s="6" cm="1">
        <f t="array" ref="J184">(LN(G184/E184)-LN(G183/E183))*100</f>
        <v>-0.268464509141209</v>
      </c>
      <c r="K184" s="7" cm="1">
        <f t="array" ref="K184">((LN(B184)-LN(B183))-(LN(F184)-LN(F183)))*100</f>
        <v>0.0249800776989773</v>
      </c>
      <c r="L184" s="8">
        <v>0</v>
      </c>
      <c r="M184" s="8">
        <v>0</v>
      </c>
      <c r="N184" s="8">
        <v>1</v>
      </c>
      <c r="O184" s="8">
        <v>0</v>
      </c>
    </row>
    <row r="185" ht="13.65" customHeight="1">
      <c r="A185" t="s" s="3">
        <v>198</v>
      </c>
      <c r="B185" s="4">
        <v>17204185</v>
      </c>
      <c r="C185" s="4">
        <v>2.0415045</v>
      </c>
      <c r="D185" s="4">
        <v>129.49</v>
      </c>
      <c r="E185" s="4">
        <v>4015120.8</v>
      </c>
      <c r="F185" s="4">
        <v>3304190.51</v>
      </c>
      <c r="G185" s="4"/>
      <c r="H185" s="4">
        <v>6.3</v>
      </c>
      <c r="I185" s="5">
        <v>54.5896505</v>
      </c>
      <c r="J185" s="6"/>
      <c r="K185" s="7" cm="1">
        <f t="array" ref="K185">((LN(B185)-LN(B184))-(LN(F185)-LN(F184)))*100</f>
        <v>1.10299254070672</v>
      </c>
      <c r="L185" s="8">
        <v>0</v>
      </c>
      <c r="M185" s="8">
        <v>0</v>
      </c>
      <c r="N185" s="8">
        <v>0</v>
      </c>
      <c r="O185" s="8">
        <v>0</v>
      </c>
    </row>
    <row r="186" ht="13.65" customHeight="1">
      <c r="A186" t="s" s="3">
        <v>199</v>
      </c>
      <c r="B186" s="4">
        <v>17369529</v>
      </c>
      <c r="C186" s="4">
        <v>2.0494788</v>
      </c>
      <c r="D186" s="4"/>
      <c r="E186" s="4"/>
      <c r="F186" s="4"/>
      <c r="G186" s="9"/>
      <c r="H186" s="4">
        <v>6.2</v>
      </c>
      <c r="I186" s="5">
        <v>68.52653720000001</v>
      </c>
      <c r="J186" s="6"/>
      <c r="K186" s="7"/>
      <c r="L186" s="8">
        <v>1</v>
      </c>
      <c r="M186" s="8">
        <v>0</v>
      </c>
      <c r="N186" s="8">
        <v>0</v>
      </c>
      <c r="O186" s="8">
        <v>0</v>
      </c>
    </row>
    <row r="187" ht="13.65" customHeight="1">
      <c r="A187" s="9"/>
      <c r="B187" s="4"/>
      <c r="C187" s="4"/>
      <c r="D187" s="4"/>
      <c r="E187" s="4"/>
      <c r="F187" s="4"/>
      <c r="G187" s="9"/>
      <c r="H187" s="4"/>
      <c r="I187" s="5"/>
      <c r="J187" s="6"/>
      <c r="K187" s="7"/>
      <c r="L187" s="8"/>
      <c r="M187" s="8"/>
      <c r="N187" s="8"/>
      <c r="O187" s="8"/>
    </row>
    <row r="188" ht="13.65" customHeight="1">
      <c r="A188" s="9"/>
      <c r="B188" s="4"/>
      <c r="C188" s="4"/>
      <c r="D188" s="4"/>
      <c r="E188" s="4"/>
      <c r="F188" s="4"/>
      <c r="G188" s="9"/>
      <c r="H188" s="4"/>
      <c r="I188" s="5"/>
      <c r="J188" s="6"/>
      <c r="K188" s="7"/>
      <c r="L188" s="8"/>
      <c r="M188" s="8"/>
      <c r="N188" s="8"/>
      <c r="O188" s="8"/>
    </row>
    <row r="189" ht="13.65" customHeight="1">
      <c r="A189" s="9"/>
      <c r="B189" s="4"/>
      <c r="C189" s="4"/>
      <c r="D189" s="4"/>
      <c r="E189" s="4"/>
      <c r="F189" s="4"/>
      <c r="G189" s="9"/>
      <c r="H189" s="4"/>
      <c r="I189" s="5"/>
      <c r="J189" s="6"/>
      <c r="K189" s="7"/>
      <c r="L189" s="8"/>
      <c r="M189" s="8"/>
      <c r="N189" s="8"/>
      <c r="O189" s="8"/>
    </row>
    <row r="190" ht="13.65" customHeight="1">
      <c r="A190" s="9"/>
      <c r="B190" s="4"/>
      <c r="C190" s="4"/>
      <c r="D190" s="4"/>
      <c r="E190" s="4"/>
      <c r="F190" s="4"/>
      <c r="G190" s="9"/>
      <c r="H190" s="4"/>
      <c r="I190" s="5"/>
      <c r="J190" s="6"/>
      <c r="K190" s="7"/>
      <c r="L190" s="8"/>
      <c r="M190" s="8"/>
      <c r="N190" s="8"/>
      <c r="O190" s="8"/>
    </row>
    <row r="191" ht="13.65" customHeight="1">
      <c r="A191" s="9"/>
      <c r="B191" s="4"/>
      <c r="C191" s="4"/>
      <c r="D191" s="4"/>
      <c r="E191" s="4"/>
      <c r="F191" s="4"/>
      <c r="G191" s="9"/>
      <c r="H191" s="4"/>
      <c r="I191" s="5"/>
      <c r="J191" s="6"/>
      <c r="K191" s="7"/>
      <c r="L191" s="8"/>
      <c r="M191" s="8"/>
      <c r="N191" s="8"/>
      <c r="O191" s="8"/>
    </row>
    <row r="192" ht="13.65" customHeight="1">
      <c r="A192" s="9"/>
      <c r="B192" s="4"/>
      <c r="C192" s="4"/>
      <c r="D192" s="4"/>
      <c r="E192" s="4"/>
      <c r="F192" s="4"/>
      <c r="G192" s="9"/>
      <c r="H192" s="4"/>
      <c r="I192" s="5"/>
      <c r="J192" s="6"/>
      <c r="K192" s="7"/>
      <c r="L192" s="8"/>
      <c r="M192" s="8"/>
      <c r="N192" s="8"/>
      <c r="O192" s="8"/>
    </row>
    <row r="193" ht="13.65" customHeight="1">
      <c r="A193" s="9"/>
      <c r="B193" s="4"/>
      <c r="C193" s="4"/>
      <c r="D193" s="4"/>
      <c r="E193" s="4"/>
      <c r="F193" s="4"/>
      <c r="G193" s="9"/>
      <c r="H193" s="4"/>
      <c r="I193" s="5"/>
      <c r="J193" s="6"/>
      <c r="K193" s="7"/>
      <c r="L193" s="8"/>
      <c r="M193" s="8"/>
      <c r="N193" s="8"/>
      <c r="O193" s="8"/>
    </row>
    <row r="194" ht="13.65" customHeight="1">
      <c r="A194" s="9"/>
      <c r="B194" s="4"/>
      <c r="C194" s="4"/>
      <c r="D194" s="4"/>
      <c r="E194" s="4"/>
      <c r="F194" s="4"/>
      <c r="G194" s="9"/>
      <c r="H194" s="4"/>
      <c r="I194" s="5"/>
      <c r="J194" s="6"/>
      <c r="K194" s="7"/>
      <c r="L194" s="8"/>
      <c r="M194" s="8"/>
      <c r="N194" s="8"/>
      <c r="O194" s="8"/>
    </row>
    <row r="195" ht="13.65" customHeight="1">
      <c r="A195" s="9"/>
      <c r="B195" s="4"/>
      <c r="C195" s="4"/>
      <c r="D195" s="4"/>
      <c r="E195" s="4"/>
      <c r="F195" s="4"/>
      <c r="G195" s="9"/>
      <c r="H195" s="4"/>
      <c r="I195" s="5"/>
      <c r="J195" s="6"/>
      <c r="K195" s="7"/>
      <c r="L195" s="8"/>
      <c r="M195" s="8"/>
      <c r="N195" s="8"/>
      <c r="O195" s="8"/>
    </row>
    <row r="196" ht="13.65" customHeight="1">
      <c r="A196" s="9"/>
      <c r="B196" s="4"/>
      <c r="C196" s="4"/>
      <c r="D196" s="4"/>
      <c r="E196" s="4"/>
      <c r="F196" s="4"/>
      <c r="G196" s="9"/>
      <c r="H196" s="4"/>
      <c r="I196" s="5"/>
      <c r="J196" s="6"/>
      <c r="K196" s="7"/>
      <c r="L196" s="8"/>
      <c r="M196" s="8"/>
      <c r="N196" s="8"/>
      <c r="O196" s="8"/>
    </row>
    <row r="197" ht="13.65" customHeight="1">
      <c r="A197" s="9"/>
      <c r="B197" s="4"/>
      <c r="C197" s="4"/>
      <c r="D197" s="4"/>
      <c r="E197" s="4"/>
      <c r="F197" s="4"/>
      <c r="G197" s="9"/>
      <c r="H197" s="4"/>
      <c r="I197" s="5"/>
      <c r="J197" s="6"/>
      <c r="K197" s="7"/>
      <c r="L197" s="8"/>
      <c r="M197" s="8"/>
      <c r="N197" s="8"/>
      <c r="O197" s="8"/>
    </row>
    <row r="198" ht="13.65" customHeight="1">
      <c r="A198" s="9"/>
      <c r="B198" s="4"/>
      <c r="C198" s="4"/>
      <c r="D198" s="4"/>
      <c r="E198" s="4"/>
      <c r="F198" s="4"/>
      <c r="G198" s="9"/>
      <c r="H198" s="4"/>
      <c r="I198" s="5"/>
      <c r="J198" s="6"/>
      <c r="K198" s="7"/>
      <c r="L198" s="8"/>
      <c r="M198" s="8"/>
      <c r="N198" s="8"/>
      <c r="O198" s="8"/>
    </row>
    <row r="199" ht="13.65" customHeight="1">
      <c r="A199" s="9"/>
      <c r="B199" s="4"/>
      <c r="C199" s="4"/>
      <c r="D199" s="4"/>
      <c r="E199" s="4"/>
      <c r="F199" s="4"/>
      <c r="G199" s="9"/>
      <c r="H199" s="4"/>
      <c r="I199" s="5"/>
      <c r="J199" s="6"/>
      <c r="K199" s="7"/>
      <c r="L199" s="8"/>
      <c r="M199" s="8"/>
      <c r="N199" s="8"/>
      <c r="O199" s="8"/>
    </row>
    <row r="200" ht="13.65" customHeight="1">
      <c r="A200" s="9"/>
      <c r="B200" s="4"/>
      <c r="C200" s="4"/>
      <c r="D200" s="4"/>
      <c r="E200" s="4"/>
      <c r="F200" s="4"/>
      <c r="G200" s="9"/>
      <c r="H200" s="4"/>
      <c r="I200" s="5"/>
      <c r="J200" s="6"/>
      <c r="K200" s="7"/>
      <c r="L200" s="8"/>
      <c r="M200" s="8"/>
      <c r="N200" s="8"/>
      <c r="O200" s="8"/>
    </row>
    <row r="201" ht="13.65" customHeight="1">
      <c r="A201" s="9"/>
      <c r="B201" s="4"/>
      <c r="C201" s="4"/>
      <c r="D201" s="4"/>
      <c r="E201" s="4"/>
      <c r="F201" s="4"/>
      <c r="G201" s="9"/>
      <c r="H201" s="4"/>
      <c r="I201" s="5"/>
      <c r="J201" s="6"/>
      <c r="K201" s="7"/>
      <c r="L201" s="8"/>
      <c r="M201" s="8"/>
      <c r="N201" s="8"/>
      <c r="O201" s="8"/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